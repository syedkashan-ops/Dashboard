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wssfs\CS KARACHI\Interns\"/>
    </mc:Choice>
  </mc:AlternateContent>
  <xr:revisionPtr revIDLastSave="0" documentId="13_ncr:1_{2815F44E-BE7B-48EB-9154-D64C7C8D4972}" xr6:coauthVersionLast="47" xr6:coauthVersionMax="47" xr10:uidLastSave="{00000000-0000-0000-0000-000000000000}"/>
  <bookViews>
    <workbookView xWindow="-108" yWindow="-108" windowWidth="23256" windowHeight="13896" activeTab="2" xr2:uid="{5EFDA55F-0C5D-419E-823F-9C620A73AFC2}"/>
  </bookViews>
  <sheets>
    <sheet name="Lubes" sheetId="1" r:id="rId1"/>
    <sheet name="PMG" sheetId="2" r:id="rId2"/>
    <sheet name="HSD" sheetId="3" r:id="rId3"/>
    <sheet name="HOBC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1" i="1" l="1"/>
  <c r="R10" i="1"/>
  <c r="R9" i="1"/>
  <c r="R8" i="1"/>
  <c r="R7" i="1"/>
  <c r="R6" i="1"/>
  <c r="R5" i="1"/>
  <c r="R4" i="1"/>
  <c r="R3" i="1"/>
  <c r="R2" i="1"/>
  <c r="R10" i="2"/>
  <c r="R9" i="2"/>
  <c r="R8" i="2"/>
  <c r="R7" i="2"/>
  <c r="R6" i="2"/>
  <c r="R5" i="2"/>
  <c r="R4" i="2"/>
  <c r="R3" i="2"/>
  <c r="R2" i="2"/>
  <c r="R10" i="3"/>
  <c r="R9" i="3"/>
  <c r="R8" i="3"/>
  <c r="R7" i="3"/>
  <c r="R6" i="3"/>
  <c r="R5" i="3"/>
  <c r="R4" i="3"/>
  <c r="R3" i="3"/>
  <c r="R2" i="3"/>
  <c r="R3" i="4"/>
  <c r="R4" i="4"/>
  <c r="R5" i="4"/>
  <c r="R6" i="4"/>
  <c r="R7" i="4"/>
  <c r="R8" i="4"/>
  <c r="R9" i="4"/>
  <c r="R10" i="4"/>
  <c r="R2" i="4"/>
  <c r="C14" i="1"/>
  <c r="C24" i="1" s="1"/>
  <c r="O17" i="1"/>
  <c r="O18" i="1"/>
  <c r="O19" i="1"/>
  <c r="O20" i="1"/>
  <c r="O21" i="1"/>
  <c r="O22" i="1"/>
  <c r="O23" i="1"/>
  <c r="O15" i="1"/>
  <c r="O16" i="1"/>
  <c r="O14" i="1"/>
  <c r="N24" i="1"/>
  <c r="M24" i="1"/>
  <c r="L24" i="1"/>
  <c r="K24" i="1"/>
  <c r="J24" i="1"/>
  <c r="I24" i="1"/>
  <c r="H24" i="1"/>
  <c r="G24" i="1"/>
  <c r="F24" i="1"/>
  <c r="E24" i="1"/>
  <c r="D24" i="1"/>
  <c r="P26" i="1"/>
  <c r="O14" i="3"/>
  <c r="O15" i="3"/>
  <c r="O16" i="3"/>
  <c r="O17" i="3"/>
  <c r="O18" i="3"/>
  <c r="O19" i="3"/>
  <c r="O20" i="3"/>
  <c r="O21" i="3"/>
  <c r="O22" i="3"/>
  <c r="O13" i="3"/>
  <c r="O10" i="3"/>
  <c r="O9" i="3"/>
  <c r="O8" i="3"/>
  <c r="O6" i="3"/>
  <c r="O5" i="3"/>
  <c r="O3" i="3"/>
  <c r="O4" i="3"/>
  <c r="O7" i="3"/>
  <c r="O2" i="3"/>
  <c r="O23" i="2"/>
  <c r="O22" i="2"/>
  <c r="O21" i="2"/>
  <c r="O20" i="2"/>
  <c r="O19" i="2"/>
  <c r="O18" i="2"/>
  <c r="O17" i="2"/>
  <c r="O16" i="2"/>
  <c r="O14" i="2"/>
  <c r="O15" i="2"/>
  <c r="O10" i="2"/>
  <c r="O9" i="2"/>
  <c r="O8" i="2"/>
  <c r="O7" i="2"/>
  <c r="O6" i="2"/>
  <c r="O5" i="2"/>
  <c r="O4" i="2"/>
  <c r="O3" i="2"/>
  <c r="O2" i="2"/>
  <c r="O24" i="1" l="1"/>
  <c r="O26" i="1" s="1"/>
  <c r="Q11" i="4"/>
  <c r="Q20" i="4"/>
  <c r="O20" i="4"/>
  <c r="N20" i="4"/>
  <c r="N22" i="4" s="1"/>
  <c r="M20" i="4"/>
  <c r="M22" i="4" s="1"/>
  <c r="L20" i="4"/>
  <c r="L22" i="4" s="1"/>
  <c r="K20" i="4"/>
  <c r="K22" i="4" s="1"/>
  <c r="J20" i="4"/>
  <c r="J22" i="4" s="1"/>
  <c r="I20" i="4"/>
  <c r="I22" i="4" s="1"/>
  <c r="H20" i="4"/>
  <c r="H22" i="4" s="1"/>
  <c r="G20" i="4"/>
  <c r="G22" i="4" s="1"/>
  <c r="F20" i="4"/>
  <c r="F22" i="4" s="1"/>
  <c r="E20" i="4"/>
  <c r="E22" i="4" s="1"/>
  <c r="D20" i="4"/>
  <c r="D22" i="4" s="1"/>
  <c r="C20" i="4"/>
  <c r="C22" i="4" s="1"/>
  <c r="O3" i="4"/>
  <c r="O4" i="4"/>
  <c r="O5" i="4"/>
  <c r="O6" i="4"/>
  <c r="O7" i="4"/>
  <c r="O8" i="4"/>
  <c r="O9" i="4"/>
  <c r="O10" i="4"/>
  <c r="O2" i="4"/>
  <c r="N11" i="4"/>
  <c r="M11" i="4"/>
  <c r="L11" i="4"/>
  <c r="K11" i="4"/>
  <c r="J11" i="4"/>
  <c r="I11" i="4"/>
  <c r="H11" i="4"/>
  <c r="G11" i="4"/>
  <c r="F11" i="4"/>
  <c r="E11" i="4"/>
  <c r="D11" i="4"/>
  <c r="C11" i="4"/>
  <c r="Q25" i="3"/>
  <c r="O25" i="3"/>
  <c r="O27" i="3" s="1"/>
  <c r="N25" i="3"/>
  <c r="N27" i="3" s="1"/>
  <c r="M25" i="3"/>
  <c r="M27" i="3" s="1"/>
  <c r="L25" i="3"/>
  <c r="L27" i="3" s="1"/>
  <c r="K25" i="3"/>
  <c r="K27" i="3" s="1"/>
  <c r="J25" i="3"/>
  <c r="J27" i="3" s="1"/>
  <c r="I25" i="3"/>
  <c r="I27" i="3" s="1"/>
  <c r="H25" i="3"/>
  <c r="H27" i="3" s="1"/>
  <c r="G25" i="3"/>
  <c r="G27" i="3" s="1"/>
  <c r="F25" i="3"/>
  <c r="F27" i="3" s="1"/>
  <c r="E25" i="3"/>
  <c r="E27" i="3" s="1"/>
  <c r="D25" i="3"/>
  <c r="D27" i="3" s="1"/>
  <c r="C25" i="3"/>
  <c r="C27" i="3" s="1"/>
  <c r="Q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Q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Q11" i="2"/>
  <c r="N11" i="2"/>
  <c r="M11" i="2"/>
  <c r="L11" i="2"/>
  <c r="K11" i="2"/>
  <c r="J11" i="2"/>
  <c r="I11" i="2"/>
  <c r="H11" i="2"/>
  <c r="G11" i="2"/>
  <c r="F11" i="2"/>
  <c r="E11" i="2"/>
  <c r="D11" i="2"/>
  <c r="C11" i="2"/>
  <c r="R11" i="2" s="1"/>
  <c r="Q24" i="1"/>
  <c r="Q10" i="1"/>
  <c r="Q3" i="1"/>
  <c r="Q9" i="1"/>
  <c r="Q5" i="1"/>
  <c r="Q2" i="1"/>
  <c r="Q8" i="1"/>
  <c r="Q6" i="1"/>
  <c r="Q4" i="1"/>
  <c r="Q7" i="1"/>
  <c r="R11" i="3" l="1"/>
  <c r="R11" i="4"/>
  <c r="O22" i="4"/>
  <c r="O11" i="2"/>
  <c r="O11" i="4"/>
  <c r="Q11" i="1"/>
</calcChain>
</file>

<file path=xl/sharedStrings.xml><?xml version="1.0" encoding="utf-8"?>
<sst xmlns="http://schemas.openxmlformats.org/spreadsheetml/2006/main" count="102" uniqueCount="28">
  <si>
    <t>A01</t>
  </si>
  <si>
    <t>A02</t>
  </si>
  <si>
    <t>A03</t>
  </si>
  <si>
    <t>A04</t>
  </si>
  <si>
    <t>A05</t>
  </si>
  <si>
    <t>A06</t>
  </si>
  <si>
    <t>A07</t>
  </si>
  <si>
    <t>A08</t>
  </si>
  <si>
    <t>Total</t>
  </si>
  <si>
    <t>CoRos</t>
  </si>
  <si>
    <t>PSO S/S -03 (CLIFF PETROLEUM SERVIC</t>
  </si>
  <si>
    <t>PSO S/S 25 (ITTEHAD)</t>
  </si>
  <si>
    <t>PSO S/S 7 (A.B GHAZI)</t>
  </si>
  <si>
    <t>PSO S/S 23 (DEFENCE)</t>
  </si>
  <si>
    <t>PSO S/S 28 BHITTAI</t>
  </si>
  <si>
    <t>PSO SEVICE STATION (70) COCO</t>
  </si>
  <si>
    <t>PSO S/S 76 (SHEERIN)</t>
  </si>
  <si>
    <t>PSO S/S 87(SINDH)</t>
  </si>
  <si>
    <t>PSO S/S 85 (EASTERN</t>
  </si>
  <si>
    <t>PSO S/S 86 (JINNAH)</t>
  </si>
  <si>
    <t>Sales Area</t>
  </si>
  <si>
    <t xml:space="preserve">FY25 </t>
  </si>
  <si>
    <t>CoRos wise-targets</t>
  </si>
  <si>
    <t>FY-25</t>
  </si>
  <si>
    <t>FY25</t>
  </si>
  <si>
    <t>CoRo wise target</t>
  </si>
  <si>
    <t>PSO S/S 91 (GULBERG)</t>
  </si>
  <si>
    <t>PSO S/S 93 (WALL STREET)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</si>
</sst>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5" fontId="0" fillId="0" borderId="0" xfId="1" applyNumberFormat="1" applyFont="1"/>
    <xf numFmtId="0" fontId="0" fillId="0" borderId="1" xfId="0" applyBorder="1"/>
    <xf numFmtId="165" fontId="0" fillId="0" borderId="1" xfId="1" applyNumberFormat="1" applyFont="1" applyBorder="1"/>
    <xf numFmtId="0" fontId="0" fillId="0" borderId="1" xfId="0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7" fontId="2" fillId="0" borderId="1" xfId="0" applyNumberFormat="1" applyFont="1" applyBorder="1" applyAlignment="1">
      <alignment horizontal="center"/>
    </xf>
    <xf numFmtId="0" fontId="2" fillId="0" borderId="0" xfId="0" applyFont="1"/>
    <xf numFmtId="165" fontId="2" fillId="0" borderId="1" xfId="1" applyNumberFormat="1" applyFont="1" applyBorder="1" applyAlignment="1">
      <alignment horizontal="center"/>
    </xf>
    <xf numFmtId="165" fontId="2" fillId="0" borderId="1" xfId="1" applyNumberFormat="1" applyFont="1" applyBorder="1"/>
    <xf numFmtId="0" fontId="2" fillId="0" borderId="1" xfId="0" applyFont="1" applyBorder="1"/>
    <xf numFmtId="0" fontId="2" fillId="0" borderId="1" xfId="0" applyFont="1" applyFill="1" applyBorder="1" applyAlignment="1">
      <alignment horizontal="center"/>
    </xf>
    <xf numFmtId="165" fontId="0" fillId="0" borderId="0" xfId="0" applyNumberFormat="1"/>
    <xf numFmtId="166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iejaz\Desktop\Target%20working%20FY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sheet"/>
      <sheetName val="Monthly lube"/>
      <sheetName val="Lubes"/>
      <sheetName val="Monthly PMG"/>
      <sheetName val="PMG"/>
      <sheetName val="Monthly HSD"/>
      <sheetName val="HSD"/>
      <sheetName val="Monthly HOBC"/>
      <sheetName val="HOBC"/>
    </sheetNames>
    <sheetDataSet>
      <sheetData sheetId="0">
        <row r="3">
          <cell r="A3" t="str">
            <v>Row Labels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4B4DD-BD57-4378-93D6-88AB7C279CC6}">
  <sheetPr codeName="Sheet1"/>
  <dimension ref="B1:R26"/>
  <sheetViews>
    <sheetView zoomScale="70" zoomScaleNormal="70" workbookViewId="0">
      <selection activeCell="J2" sqref="J2"/>
    </sheetView>
  </sheetViews>
  <sheetFormatPr defaultRowHeight="14.4" x14ac:dyDescent="0.3"/>
  <cols>
    <col min="2" max="2" width="33" bestFit="1" customWidth="1"/>
    <col min="3" max="3" width="7.6640625" bestFit="1" customWidth="1"/>
    <col min="4" max="14" width="8.6640625" bestFit="1" customWidth="1"/>
    <col min="15" max="15" width="10.21875" style="8" bestFit="1" customWidth="1"/>
    <col min="16" max="16" width="0.5546875" customWidth="1"/>
    <col min="17" max="17" width="10.21875" bestFit="1" customWidth="1"/>
  </cols>
  <sheetData>
    <row r="1" spans="2:18" s="8" customFormat="1" x14ac:dyDescent="0.3">
      <c r="B1" s="6" t="s">
        <v>20</v>
      </c>
      <c r="C1" s="7">
        <v>45839</v>
      </c>
      <c r="D1" s="7">
        <v>45870</v>
      </c>
      <c r="E1" s="7">
        <v>45901</v>
      </c>
      <c r="F1" s="7">
        <v>45931</v>
      </c>
      <c r="G1" s="7">
        <v>45962</v>
      </c>
      <c r="H1" s="7">
        <v>45992</v>
      </c>
      <c r="I1" s="7">
        <v>46023</v>
      </c>
      <c r="J1" s="7">
        <v>46054</v>
      </c>
      <c r="K1" s="7">
        <v>46082</v>
      </c>
      <c r="L1" s="7">
        <v>46113</v>
      </c>
      <c r="M1" s="7">
        <v>46143</v>
      </c>
      <c r="N1" s="7">
        <v>46174</v>
      </c>
      <c r="O1" s="6" t="s">
        <v>8</v>
      </c>
      <c r="Q1" s="6" t="s">
        <v>21</v>
      </c>
    </row>
    <row r="2" spans="2:18" x14ac:dyDescent="0.3">
      <c r="B2" s="4" t="s">
        <v>9</v>
      </c>
      <c r="C2" s="5">
        <v>9432.4899278571484</v>
      </c>
      <c r="D2" s="5">
        <v>12755.978140714282</v>
      </c>
      <c r="E2" s="5">
        <v>14477.497214999998</v>
      </c>
      <c r="F2" s="5">
        <v>15362.166739285714</v>
      </c>
      <c r="G2" s="5">
        <v>15146.976854999997</v>
      </c>
      <c r="H2" s="5">
        <v>13030.942992857148</v>
      </c>
      <c r="I2" s="5">
        <v>11572.433777142849</v>
      </c>
      <c r="J2" s="5">
        <v>13007.03300571428</v>
      </c>
      <c r="K2" s="5">
        <v>15326.30175857143</v>
      </c>
      <c r="L2" s="5">
        <v>15900.141449999997</v>
      </c>
      <c r="M2" s="5">
        <v>15565.401629999997</v>
      </c>
      <c r="N2" s="5">
        <v>15768.636520714281</v>
      </c>
      <c r="O2" s="9">
        <v>167369.90999999997</v>
      </c>
      <c r="Q2" s="5" t="e">
        <f>GETPIVOTDATA("Sum of 2025",'[1]Summary sheet'!$A$3,"Proposed Sales area","A00")</f>
        <v>#REF!</v>
      </c>
      <c r="R2" s="13">
        <f>(SUM(C2:E2))/1000</f>
        <v>36.665965283571431</v>
      </c>
    </row>
    <row r="3" spans="2:18" x14ac:dyDescent="0.3">
      <c r="B3" s="4" t="s">
        <v>0</v>
      </c>
      <c r="C3" s="5">
        <v>7856.4567921428625</v>
      </c>
      <c r="D3" s="5">
        <v>10624.638019285712</v>
      </c>
      <c r="E3" s="5">
        <v>12058.516065</v>
      </c>
      <c r="F3" s="5">
        <v>12795.370060714287</v>
      </c>
      <c r="G3" s="5">
        <v>12616.135305</v>
      </c>
      <c r="H3" s="5">
        <v>10853.660207142862</v>
      </c>
      <c r="I3" s="5">
        <v>9638.8468628571372</v>
      </c>
      <c r="J3" s="5">
        <v>10833.74523428571</v>
      </c>
      <c r="K3" s="5">
        <v>12765.497601428575</v>
      </c>
      <c r="L3" s="5">
        <v>13243.45695</v>
      </c>
      <c r="M3" s="5">
        <v>12964.64733</v>
      </c>
      <c r="N3" s="5">
        <v>13133.924599285712</v>
      </c>
      <c r="O3" s="9">
        <v>139404.81</v>
      </c>
      <c r="Q3" s="5" t="e">
        <f>GETPIVOTDATA("Sum of 2025",'[1]Summary sheet'!$A$3,"Proposed Sales area","A01")</f>
        <v>#REF!</v>
      </c>
      <c r="R3" s="13">
        <f t="shared" ref="R3:R11" si="0">(SUM(C3:E3))/1000</f>
        <v>30.539610876428576</v>
      </c>
    </row>
    <row r="4" spans="2:18" x14ac:dyDescent="0.3">
      <c r="B4" s="4" t="s">
        <v>1</v>
      </c>
      <c r="C4" s="5">
        <v>9777.570349285721</v>
      </c>
      <c r="D4" s="5">
        <v>13222.645833571429</v>
      </c>
      <c r="E4" s="5">
        <v>15007.145365</v>
      </c>
      <c r="F4" s="5">
        <v>15924.179846428575</v>
      </c>
      <c r="G4" s="5">
        <v>15701.117405000001</v>
      </c>
      <c r="H4" s="5">
        <v>13507.670064285723</v>
      </c>
      <c r="I4" s="5">
        <v>11995.802405714279</v>
      </c>
      <c r="J4" s="5">
        <v>13482.885348571426</v>
      </c>
      <c r="K4" s="5">
        <v>15887.002772857148</v>
      </c>
      <c r="L4" s="5">
        <v>16481.835950000001</v>
      </c>
      <c r="M4" s="5">
        <v>16134.84993</v>
      </c>
      <c r="N4" s="5">
        <v>16345.520013571426</v>
      </c>
      <c r="O4" s="9">
        <v>173493.01</v>
      </c>
      <c r="Q4" s="5" t="e">
        <f>GETPIVOTDATA("Sum of 2025",'[1]Summary sheet'!$A$3,"Proposed Sales area","A02")</f>
        <v>#REF!</v>
      </c>
      <c r="R4" s="13">
        <f t="shared" si="0"/>
        <v>38.007361547857144</v>
      </c>
    </row>
    <row r="5" spans="2:18" x14ac:dyDescent="0.3">
      <c r="B5" s="4" t="s">
        <v>2</v>
      </c>
      <c r="C5" s="5">
        <v>10045.486570714291</v>
      </c>
      <c r="D5" s="5">
        <v>13584.960926428568</v>
      </c>
      <c r="E5" s="5">
        <v>15418.357714999996</v>
      </c>
      <c r="F5" s="5">
        <v>16360.519953571429</v>
      </c>
      <c r="G5" s="5">
        <v>16131.345354999998</v>
      </c>
      <c r="H5" s="5">
        <v>13877.795135714292</v>
      </c>
      <c r="I5" s="5">
        <v>12324.500634285705</v>
      </c>
      <c r="J5" s="5">
        <v>13852.331291428565</v>
      </c>
      <c r="K5" s="5">
        <v>16322.32418714286</v>
      </c>
      <c r="L5" s="5">
        <v>16933.456449999998</v>
      </c>
      <c r="M5" s="5">
        <v>16576.962629999998</v>
      </c>
      <c r="N5" s="5">
        <v>16793.405306428565</v>
      </c>
      <c r="O5" s="9">
        <v>178246.90999999997</v>
      </c>
      <c r="Q5" s="5" t="e">
        <f>GETPIVOTDATA("Sum of 2025",'[1]Summary sheet'!$A$3,"Proposed Sales area","A03")</f>
        <v>#REF!</v>
      </c>
      <c r="R5" s="13">
        <f t="shared" si="0"/>
        <v>39.048805212142852</v>
      </c>
    </row>
    <row r="6" spans="2:18" x14ac:dyDescent="0.3">
      <c r="B6" s="4" t="s">
        <v>3</v>
      </c>
      <c r="C6" s="5">
        <v>13628.80333500001</v>
      </c>
      <c r="D6" s="5">
        <v>18430.840504999996</v>
      </c>
      <c r="E6" s="5">
        <v>20918.226664999998</v>
      </c>
      <c r="F6" s="5">
        <v>22196.466775000004</v>
      </c>
      <c r="G6" s="5">
        <v>21885.543504999998</v>
      </c>
      <c r="H6" s="5">
        <v>18828.131350000011</v>
      </c>
      <c r="I6" s="5">
        <v>16720.762519999989</v>
      </c>
      <c r="J6" s="5">
        <v>18793.584319999994</v>
      </c>
      <c r="K6" s="5">
        <v>22144.646230000006</v>
      </c>
      <c r="L6" s="5">
        <v>22973.774949999999</v>
      </c>
      <c r="M6" s="5">
        <v>22490.116529999999</v>
      </c>
      <c r="N6" s="5">
        <v>22783.766284999994</v>
      </c>
      <c r="O6" s="9">
        <v>241829.21</v>
      </c>
      <c r="Q6" s="5" t="e">
        <f>GETPIVOTDATA("Sum of 2025",'[1]Summary sheet'!$A$3,"Proposed Sales area","A04")</f>
        <v>#REF!</v>
      </c>
      <c r="R6" s="13">
        <f t="shared" si="0"/>
        <v>52.977870504999999</v>
      </c>
    </row>
    <row r="7" spans="2:18" x14ac:dyDescent="0.3">
      <c r="B7" s="4" t="s">
        <v>4</v>
      </c>
      <c r="C7" s="5">
        <v>9768.5081207142921</v>
      </c>
      <c r="D7" s="5">
        <v>13210.39057642857</v>
      </c>
      <c r="E7" s="5">
        <v>14993.236164999998</v>
      </c>
      <c r="F7" s="5">
        <v>15909.420703571432</v>
      </c>
      <c r="G7" s="5">
        <v>15686.565004999999</v>
      </c>
      <c r="H7" s="5">
        <v>13495.150635714293</v>
      </c>
      <c r="I7" s="5">
        <v>11984.684234285707</v>
      </c>
      <c r="J7" s="5">
        <v>13470.388891428567</v>
      </c>
      <c r="K7" s="5">
        <v>15872.27808714286</v>
      </c>
      <c r="L7" s="5">
        <v>16466.559949999999</v>
      </c>
      <c r="M7" s="5">
        <v>16119.89553</v>
      </c>
      <c r="N7" s="5">
        <v>16330.370356428568</v>
      </c>
      <c r="O7" s="9">
        <v>173332.21</v>
      </c>
      <c r="Q7" s="5" t="e">
        <f>GETPIVOTDATA("Sum of 2025",'[1]Summary sheet'!$A$3,"Proposed Sales area","A05")</f>
        <v>#REF!</v>
      </c>
      <c r="R7" s="13">
        <f t="shared" si="0"/>
        <v>37.972134862142859</v>
      </c>
    </row>
    <row r="8" spans="2:18" x14ac:dyDescent="0.3">
      <c r="B8" s="4" t="s">
        <v>5</v>
      </c>
      <c r="C8" s="5">
        <v>7374.9915214285775</v>
      </c>
      <c r="D8" s="5">
        <v>9973.5309928571423</v>
      </c>
      <c r="E8" s="5">
        <v>11319.537050000001</v>
      </c>
      <c r="F8" s="5">
        <v>12011.23460714286</v>
      </c>
      <c r="G8" s="5">
        <v>11842.983850000001</v>
      </c>
      <c r="H8" s="5">
        <v>10188.518071428578</v>
      </c>
      <c r="I8" s="5">
        <v>9048.1518285714246</v>
      </c>
      <c r="J8" s="5">
        <v>10169.823542857141</v>
      </c>
      <c r="K8" s="5">
        <v>11983.192814285718</v>
      </c>
      <c r="L8" s="5">
        <v>12431.861500000001</v>
      </c>
      <c r="M8" s="5">
        <v>12170.1381</v>
      </c>
      <c r="N8" s="5">
        <v>12329.041592857142</v>
      </c>
      <c r="O8" s="9">
        <v>130861.70000000001</v>
      </c>
      <c r="Q8" s="5" t="e">
        <f>GETPIVOTDATA("Sum of 2025",'[1]Summary sheet'!$A$3,"Proposed Sales area","A06")</f>
        <v>#REF!</v>
      </c>
      <c r="R8" s="13">
        <f t="shared" si="0"/>
        <v>28.668059564285723</v>
      </c>
    </row>
    <row r="9" spans="2:18" x14ac:dyDescent="0.3">
      <c r="B9" s="4" t="s">
        <v>6</v>
      </c>
      <c r="C9" s="5">
        <v>8939.0436921428645</v>
      </c>
      <c r="D9" s="5">
        <v>12088.668719285715</v>
      </c>
      <c r="E9" s="5">
        <v>13720.129165</v>
      </c>
      <c r="F9" s="5">
        <v>14558.51856071429</v>
      </c>
      <c r="G9" s="5">
        <v>14354.586005000001</v>
      </c>
      <c r="H9" s="5">
        <v>12349.249207142866</v>
      </c>
      <c r="I9" s="5">
        <v>10967.039662857138</v>
      </c>
      <c r="J9" s="5">
        <v>12326.590034285713</v>
      </c>
      <c r="K9" s="5">
        <v>14524.529801428576</v>
      </c>
      <c r="L9" s="5">
        <v>15068.349950000002</v>
      </c>
      <c r="M9" s="5">
        <v>14751.121530000002</v>
      </c>
      <c r="N9" s="5">
        <v>14943.724499285714</v>
      </c>
      <c r="O9" s="9">
        <v>158614.21000000002</v>
      </c>
      <c r="Q9" s="5" t="e">
        <f>GETPIVOTDATA("Sum of 2025",'[1]Summary sheet'!$A$3,"Proposed Sales area","A07")</f>
        <v>#REF!</v>
      </c>
      <c r="R9" s="13">
        <f t="shared" si="0"/>
        <v>34.747841576428584</v>
      </c>
    </row>
    <row r="10" spans="2:18" x14ac:dyDescent="0.3">
      <c r="B10" s="4" t="s">
        <v>7</v>
      </c>
      <c r="C10" s="5">
        <v>11076.771563571439</v>
      </c>
      <c r="D10" s="5">
        <v>14979.613762142859</v>
      </c>
      <c r="E10" s="5">
        <v>17001.229865000001</v>
      </c>
      <c r="F10" s="5">
        <v>18040.115917857151</v>
      </c>
      <c r="G10" s="5">
        <v>17787.413905000001</v>
      </c>
      <c r="H10" s="5">
        <v>15302.510778571441</v>
      </c>
      <c r="I10" s="5">
        <v>13589.752691428566</v>
      </c>
      <c r="J10" s="5">
        <v>15274.432777142856</v>
      </c>
      <c r="K10" s="5">
        <v>17997.998915714295</v>
      </c>
      <c r="L10" s="5">
        <v>18671.870950000004</v>
      </c>
      <c r="M10" s="5">
        <v>18278.778930000004</v>
      </c>
      <c r="N10" s="5">
        <v>18517.441942142857</v>
      </c>
      <c r="O10" s="9">
        <v>196546.01000000004</v>
      </c>
      <c r="Q10" s="5" t="e">
        <f>GETPIVOTDATA("Sum of 2025",'[1]Summary sheet'!$A$3,"Proposed Sales area","A08")</f>
        <v>#REF!</v>
      </c>
      <c r="R10" s="13">
        <f t="shared" si="0"/>
        <v>43.057615190714301</v>
      </c>
    </row>
    <row r="11" spans="2:18" s="8" customFormat="1" x14ac:dyDescent="0.3">
      <c r="B11" s="6" t="s">
        <v>8</v>
      </c>
      <c r="C11" s="9">
        <v>87900.121872857213</v>
      </c>
      <c r="D11" s="9">
        <v>118871.26747571428</v>
      </c>
      <c r="E11" s="9">
        <v>134913.87527000002</v>
      </c>
      <c r="F11" s="9">
        <v>143157.99316428576</v>
      </c>
      <c r="G11" s="9">
        <v>141152.66719000001</v>
      </c>
      <c r="H11" s="9">
        <v>121433.62844285723</v>
      </c>
      <c r="I11" s="9">
        <v>107841.9746171428</v>
      </c>
      <c r="J11" s="9">
        <v>121210.81444571423</v>
      </c>
      <c r="K11" s="9">
        <v>142823.77216857148</v>
      </c>
      <c r="L11" s="9">
        <v>148171.30809999999</v>
      </c>
      <c r="M11" s="9">
        <v>145051.91214</v>
      </c>
      <c r="N11" s="9">
        <v>146945.83111571425</v>
      </c>
      <c r="O11" s="9">
        <v>1559697.9799999997</v>
      </c>
      <c r="Q11" s="9" t="e">
        <f>SUM(Q2:Q10)</f>
        <v>#REF!</v>
      </c>
      <c r="R11" s="13">
        <f t="shared" si="0"/>
        <v>341.68526461857152</v>
      </c>
    </row>
    <row r="13" spans="2:18" x14ac:dyDescent="0.3">
      <c r="B13" s="12" t="s">
        <v>22</v>
      </c>
      <c r="C13" s="7">
        <v>45839</v>
      </c>
      <c r="D13" s="7">
        <v>45870</v>
      </c>
      <c r="E13" s="7">
        <v>45901</v>
      </c>
      <c r="F13" s="7">
        <v>45931</v>
      </c>
      <c r="G13" s="7">
        <v>45962</v>
      </c>
      <c r="H13" s="7">
        <v>45992</v>
      </c>
      <c r="I13" s="7">
        <v>46023</v>
      </c>
      <c r="J13" s="7">
        <v>46054</v>
      </c>
      <c r="K13" s="7">
        <v>46082</v>
      </c>
      <c r="L13" s="7">
        <v>46113</v>
      </c>
      <c r="M13" s="7">
        <v>46143</v>
      </c>
      <c r="N13" s="7">
        <v>46174</v>
      </c>
      <c r="O13" s="6" t="s">
        <v>8</v>
      </c>
      <c r="P13" s="8"/>
      <c r="Q13" s="6" t="s">
        <v>21</v>
      </c>
    </row>
    <row r="14" spans="2:18" x14ac:dyDescent="0.3">
      <c r="B14" s="4" t="s">
        <v>10</v>
      </c>
      <c r="C14" s="5">
        <f>1788.349085</f>
        <v>1788.3490850000001</v>
      </c>
      <c r="D14" s="5">
        <v>2411.7027549999998</v>
      </c>
      <c r="E14" s="5">
        <v>2737.1809149999999</v>
      </c>
      <c r="F14" s="5">
        <v>2904.4405250000004</v>
      </c>
      <c r="G14" s="5">
        <v>2863.7557549999997</v>
      </c>
      <c r="H14" s="5">
        <v>2463.6888500000014</v>
      </c>
      <c r="I14" s="5">
        <v>2187.9365199999988</v>
      </c>
      <c r="J14" s="5">
        <v>2459.1683199999993</v>
      </c>
      <c r="K14" s="5">
        <v>2897.6597300000008</v>
      </c>
      <c r="L14" s="5">
        <v>3006.15245</v>
      </c>
      <c r="M14" s="5">
        <v>2942.8650299999999</v>
      </c>
      <c r="N14" s="5">
        <v>2981.2895349999994</v>
      </c>
      <c r="O14" s="9">
        <f>SUM(C14:N14)</f>
        <v>31644.189470000005</v>
      </c>
      <c r="Q14" s="3">
        <v>31681.200000000001</v>
      </c>
    </row>
    <row r="15" spans="2:18" x14ac:dyDescent="0.3">
      <c r="B15" s="4" t="s">
        <v>11</v>
      </c>
      <c r="C15" s="5">
        <v>1202.3589000000009</v>
      </c>
      <c r="D15" s="5">
        <v>1621.9467</v>
      </c>
      <c r="E15" s="5">
        <v>1840.8411000000001</v>
      </c>
      <c r="F15" s="5">
        <v>1953.3285000000005</v>
      </c>
      <c r="G15" s="5">
        <v>1925.9667000000002</v>
      </c>
      <c r="H15" s="5">
        <v>1656.909000000001</v>
      </c>
      <c r="I15" s="5">
        <v>1471.4567999999992</v>
      </c>
      <c r="J15" s="5">
        <v>1653.8687999999997</v>
      </c>
      <c r="K15" s="5">
        <v>1948.7682000000007</v>
      </c>
      <c r="L15" s="5">
        <v>2021.7330000000002</v>
      </c>
      <c r="M15" s="5">
        <v>1979.1702</v>
      </c>
      <c r="N15" s="5">
        <v>2005.0118999999997</v>
      </c>
      <c r="O15" s="9">
        <f t="shared" ref="O15:O23" si="1">SUM(C15:N15)</f>
        <v>21281.359800000006</v>
      </c>
      <c r="Q15" s="3">
        <v>21281.4</v>
      </c>
    </row>
    <row r="16" spans="2:18" x14ac:dyDescent="0.3">
      <c r="B16" s="4" t="s">
        <v>12</v>
      </c>
      <c r="C16" s="5">
        <v>1383.2114500000009</v>
      </c>
      <c r="D16" s="5">
        <v>1865.1693499999999</v>
      </c>
      <c r="E16" s="5">
        <v>2116.8885500000001</v>
      </c>
      <c r="F16" s="5">
        <v>2246.2442500000006</v>
      </c>
      <c r="G16" s="5">
        <v>2214.7793499999998</v>
      </c>
      <c r="H16" s="5">
        <v>1905.3745000000013</v>
      </c>
      <c r="I16" s="5">
        <v>1692.1123999999991</v>
      </c>
      <c r="J16" s="5">
        <v>1901.8783999999996</v>
      </c>
      <c r="K16" s="5">
        <v>2241.0001000000007</v>
      </c>
      <c r="L16" s="5">
        <v>2324.9065000000001</v>
      </c>
      <c r="M16" s="5">
        <v>2275.9611</v>
      </c>
      <c r="N16" s="5">
        <v>2305.6779499999998</v>
      </c>
      <c r="O16" s="9">
        <f t="shared" si="1"/>
        <v>24473.203900000004</v>
      </c>
      <c r="Q16" s="3">
        <v>24472.7</v>
      </c>
    </row>
    <row r="17" spans="2:17" x14ac:dyDescent="0.3">
      <c r="B17" s="4" t="s">
        <v>13</v>
      </c>
      <c r="C17" s="5">
        <v>1659.1723142857156</v>
      </c>
      <c r="D17" s="5">
        <v>2237.0112285714285</v>
      </c>
      <c r="E17" s="5">
        <v>2538.9133999999999</v>
      </c>
      <c r="F17" s="5">
        <v>2694.0575714285724</v>
      </c>
      <c r="G17" s="5">
        <v>2656.3198000000002</v>
      </c>
      <c r="H17" s="5">
        <v>2285.231714285716</v>
      </c>
      <c r="I17" s="5">
        <v>2029.4534857142846</v>
      </c>
      <c r="J17" s="5">
        <v>2281.038628571428</v>
      </c>
      <c r="K17" s="5">
        <v>2687.7679428571437</v>
      </c>
      <c r="L17" s="5">
        <v>2788.402</v>
      </c>
      <c r="M17" s="5">
        <v>2729.6988000000001</v>
      </c>
      <c r="N17" s="5">
        <v>2765.3400285714283</v>
      </c>
      <c r="O17" s="9">
        <f t="shared" si="1"/>
        <v>29352.406914285715</v>
      </c>
      <c r="Q17" s="3">
        <v>29351.600000000002</v>
      </c>
    </row>
    <row r="18" spans="2:17" x14ac:dyDescent="0.3">
      <c r="B18" s="4" t="s">
        <v>14</v>
      </c>
      <c r="C18" s="5">
        <v>1648.6592285714296</v>
      </c>
      <c r="D18" s="5">
        <v>2224.1462571428569</v>
      </c>
      <c r="E18" s="5">
        <v>2524.3121999999998</v>
      </c>
      <c r="F18" s="5">
        <v>2678.5641428571435</v>
      </c>
      <c r="G18" s="5">
        <v>2641.0434</v>
      </c>
      <c r="H18" s="5">
        <v>2272.0894285714298</v>
      </c>
      <c r="I18" s="5">
        <v>2017.7821714285701</v>
      </c>
      <c r="J18" s="5">
        <v>2267.9204571428563</v>
      </c>
      <c r="K18" s="5">
        <v>2672.3106857142861</v>
      </c>
      <c r="L18" s="5">
        <v>2772.366</v>
      </c>
      <c r="M18" s="5">
        <v>2714.0003999999999</v>
      </c>
      <c r="N18" s="5">
        <v>2749.4366571428563</v>
      </c>
      <c r="O18" s="9">
        <f t="shared" si="1"/>
        <v>29182.631028571428</v>
      </c>
      <c r="Q18" s="3">
        <v>29182.799999999999</v>
      </c>
    </row>
    <row r="19" spans="2:17" x14ac:dyDescent="0.3">
      <c r="B19" s="4" t="s">
        <v>15</v>
      </c>
      <c r="C19" s="5">
        <v>920.80740714285787</v>
      </c>
      <c r="D19" s="5">
        <v>1242.5443642857142</v>
      </c>
      <c r="E19" s="5">
        <v>1410.2354499999999</v>
      </c>
      <c r="F19" s="5">
        <v>1496.4100357142861</v>
      </c>
      <c r="G19" s="5">
        <v>1475.44865</v>
      </c>
      <c r="H19" s="5">
        <v>1269.3283571428581</v>
      </c>
      <c r="I19" s="5">
        <v>1127.2567428571424</v>
      </c>
      <c r="J19" s="5">
        <v>1266.999314285714</v>
      </c>
      <c r="K19" s="5">
        <v>1492.9164714285719</v>
      </c>
      <c r="L19" s="5">
        <v>1548.8135000000002</v>
      </c>
      <c r="M19" s="5">
        <v>1516.2069000000001</v>
      </c>
      <c r="N19" s="5">
        <v>1536.0037642857142</v>
      </c>
      <c r="O19" s="9">
        <f t="shared" si="1"/>
        <v>16302.970957142861</v>
      </c>
      <c r="Q19" s="3">
        <v>16303.300000000001</v>
      </c>
    </row>
    <row r="20" spans="2:17" x14ac:dyDescent="0.3">
      <c r="B20" s="4" t="s">
        <v>16</v>
      </c>
      <c r="C20" s="5">
        <v>350.39174285714313</v>
      </c>
      <c r="D20" s="5">
        <v>472.49808571428571</v>
      </c>
      <c r="E20" s="5">
        <v>536.2654</v>
      </c>
      <c r="F20" s="5">
        <v>569.03471428571447</v>
      </c>
      <c r="G20" s="5">
        <v>561.06380000000001</v>
      </c>
      <c r="H20" s="5">
        <v>482.68314285714314</v>
      </c>
      <c r="I20" s="5">
        <v>428.65805714285693</v>
      </c>
      <c r="J20" s="5">
        <v>481.79748571428564</v>
      </c>
      <c r="K20" s="5">
        <v>567.70622857142871</v>
      </c>
      <c r="L20" s="5">
        <v>588.96199999999999</v>
      </c>
      <c r="M20" s="5">
        <v>576.56280000000004</v>
      </c>
      <c r="N20" s="5">
        <v>584.0908857142856</v>
      </c>
      <c r="O20" s="9">
        <f t="shared" si="1"/>
        <v>6199.7143428571435</v>
      </c>
      <c r="Q20" s="3">
        <v>6199.6</v>
      </c>
    </row>
    <row r="21" spans="2:17" x14ac:dyDescent="0.3">
      <c r="B21" s="4" t="s">
        <v>17</v>
      </c>
      <c r="C21" s="5">
        <v>143.14714285714297</v>
      </c>
      <c r="D21" s="5">
        <v>193.5842857142857</v>
      </c>
      <c r="E21" s="5">
        <v>219.70999999999998</v>
      </c>
      <c r="F21" s="5">
        <v>233.13571428571433</v>
      </c>
      <c r="G21" s="5">
        <v>229.87</v>
      </c>
      <c r="H21" s="5">
        <v>197.75714285714298</v>
      </c>
      <c r="I21" s="5">
        <v>175.62285714285704</v>
      </c>
      <c r="J21" s="5">
        <v>197.39428571428567</v>
      </c>
      <c r="K21" s="5">
        <v>232.59142857142862</v>
      </c>
      <c r="L21" s="5">
        <v>241.3</v>
      </c>
      <c r="M21" s="5">
        <v>236.22</v>
      </c>
      <c r="N21" s="5">
        <v>239.30428571428567</v>
      </c>
      <c r="O21" s="9">
        <f t="shared" si="1"/>
        <v>2539.6371428571429</v>
      </c>
      <c r="Q21" s="3">
        <v>2540</v>
      </c>
    </row>
    <row r="22" spans="2:17" x14ac:dyDescent="0.3">
      <c r="B22" s="4" t="s">
        <v>18</v>
      </c>
      <c r="C22" s="5">
        <v>121.31122857142867</v>
      </c>
      <c r="D22" s="5">
        <v>162.70225714285715</v>
      </c>
      <c r="E22" s="5">
        <v>184.6602</v>
      </c>
      <c r="F22" s="5">
        <v>195.94414285714291</v>
      </c>
      <c r="G22" s="5">
        <v>193.1994</v>
      </c>
      <c r="H22" s="5">
        <v>166.20942857142867</v>
      </c>
      <c r="I22" s="5">
        <v>147.60617142857134</v>
      </c>
      <c r="J22" s="5">
        <v>165.90445714285713</v>
      </c>
      <c r="K22" s="5">
        <v>195.48668571428578</v>
      </c>
      <c r="L22" s="5">
        <v>202.80600000000001</v>
      </c>
      <c r="M22" s="5">
        <v>198.53640000000001</v>
      </c>
      <c r="N22" s="5">
        <v>201.12865714285712</v>
      </c>
      <c r="O22" s="9">
        <f t="shared" si="1"/>
        <v>2135.495028571429</v>
      </c>
      <c r="Q22" s="3">
        <v>2134.8000000000002</v>
      </c>
    </row>
    <row r="23" spans="2:17" x14ac:dyDescent="0.3">
      <c r="B23" s="4" t="s">
        <v>19</v>
      </c>
      <c r="C23" s="5">
        <v>239.08142857142875</v>
      </c>
      <c r="D23" s="5">
        <v>324.67285714285708</v>
      </c>
      <c r="E23" s="5">
        <v>368.48999999999995</v>
      </c>
      <c r="F23" s="5">
        <v>391.00714285714292</v>
      </c>
      <c r="G23" s="5">
        <v>385.53</v>
      </c>
      <c r="H23" s="5">
        <v>331.67142857142875</v>
      </c>
      <c r="I23" s="5">
        <v>294.54857142857128</v>
      </c>
      <c r="J23" s="5">
        <v>331.06285714285707</v>
      </c>
      <c r="K23" s="5">
        <v>390.09428571428583</v>
      </c>
      <c r="L23" s="5">
        <v>404.7</v>
      </c>
      <c r="M23" s="5">
        <v>396.18</v>
      </c>
      <c r="N23" s="5">
        <v>401.35285714285703</v>
      </c>
      <c r="O23" s="9">
        <f t="shared" si="1"/>
        <v>4258.3914285714282</v>
      </c>
      <c r="Q23" s="3">
        <v>4260</v>
      </c>
    </row>
    <row r="24" spans="2:17" s="8" customFormat="1" x14ac:dyDescent="0.3">
      <c r="B24" s="6" t="s">
        <v>8</v>
      </c>
      <c r="C24" s="9">
        <f>SUM(C14:C23)</f>
        <v>9456.4899278571484</v>
      </c>
      <c r="D24" s="9">
        <f t="shared" ref="D24:N24" si="2">SUM(D14:D23)</f>
        <v>12755.978140714284</v>
      </c>
      <c r="E24" s="9">
        <f t="shared" si="2"/>
        <v>14477.497214999999</v>
      </c>
      <c r="F24" s="9">
        <f t="shared" si="2"/>
        <v>15362.166739285716</v>
      </c>
      <c r="G24" s="9">
        <f t="shared" si="2"/>
        <v>15146.976855000003</v>
      </c>
      <c r="H24" s="9">
        <f t="shared" si="2"/>
        <v>13030.942992857148</v>
      </c>
      <c r="I24" s="9">
        <f t="shared" si="2"/>
        <v>11572.433777142849</v>
      </c>
      <c r="J24" s="9">
        <f t="shared" si="2"/>
        <v>13007.033005714284</v>
      </c>
      <c r="K24" s="9">
        <f t="shared" si="2"/>
        <v>15326.301758571433</v>
      </c>
      <c r="L24" s="9">
        <f t="shared" si="2"/>
        <v>15900.141450000001</v>
      </c>
      <c r="M24" s="9">
        <f t="shared" si="2"/>
        <v>15565.401630000002</v>
      </c>
      <c r="N24" s="9">
        <f t="shared" si="2"/>
        <v>15768.636520714284</v>
      </c>
      <c r="O24" s="9">
        <f>SUM(O14:O23)</f>
        <v>167370.00001285717</v>
      </c>
      <c r="Q24" s="10">
        <f>SUM(Q14:Q23)</f>
        <v>167407.4</v>
      </c>
    </row>
    <row r="26" spans="2:17" x14ac:dyDescent="0.3"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>
        <f>O24-O2</f>
        <v>9.0012857195688412E-2</v>
      </c>
      <c r="P26" s="13">
        <f t="shared" ref="P26" si="3">P24-P2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CB6BE-2879-4670-A4BD-4CF672A87143}">
  <sheetPr codeName="Sheet2"/>
  <dimension ref="B1:S25"/>
  <sheetViews>
    <sheetView zoomScale="70" zoomScaleNormal="70" workbookViewId="0">
      <selection activeCell="R2" sqref="R2:R11"/>
    </sheetView>
  </sheetViews>
  <sheetFormatPr defaultRowHeight="14.4" x14ac:dyDescent="0.3"/>
  <cols>
    <col min="2" max="2" width="33" bestFit="1" customWidth="1"/>
    <col min="3" max="14" width="11.21875" bestFit="1" customWidth="1"/>
    <col min="15" max="15" width="12.21875" bestFit="1" customWidth="1"/>
    <col min="16" max="16" width="0.5546875" customWidth="1"/>
    <col min="17" max="17" width="12.21875" bestFit="1" customWidth="1"/>
    <col min="19" max="19" width="13.6640625" bestFit="1" customWidth="1"/>
  </cols>
  <sheetData>
    <row r="1" spans="2:19" x14ac:dyDescent="0.3">
      <c r="B1" s="6" t="s">
        <v>20</v>
      </c>
      <c r="C1" s="7">
        <v>45839</v>
      </c>
      <c r="D1" s="7">
        <v>45870</v>
      </c>
      <c r="E1" s="7">
        <v>45901</v>
      </c>
      <c r="F1" s="7">
        <v>45931</v>
      </c>
      <c r="G1" s="7">
        <v>45962</v>
      </c>
      <c r="H1" s="7">
        <v>45992</v>
      </c>
      <c r="I1" s="7">
        <v>46023</v>
      </c>
      <c r="J1" s="7">
        <v>46054</v>
      </c>
      <c r="K1" s="7">
        <v>46082</v>
      </c>
      <c r="L1" s="7">
        <v>46113</v>
      </c>
      <c r="M1" s="7">
        <v>46143</v>
      </c>
      <c r="N1" s="7">
        <v>46174</v>
      </c>
      <c r="O1" s="6" t="s">
        <v>8</v>
      </c>
      <c r="Q1" s="6" t="s">
        <v>23</v>
      </c>
    </row>
    <row r="2" spans="2:19" x14ac:dyDescent="0.3">
      <c r="B2" s="4" t="s">
        <v>9</v>
      </c>
      <c r="C2" s="3">
        <v>4926995.5778454607</v>
      </c>
      <c r="D2" s="3">
        <v>4926995.5778454607</v>
      </c>
      <c r="E2" s="3">
        <v>4926995.5778454607</v>
      </c>
      <c r="F2" s="3">
        <v>4926995.5778454607</v>
      </c>
      <c r="G2" s="3">
        <v>4926995.5778454607</v>
      </c>
      <c r="H2" s="3">
        <v>4926995.5778454607</v>
      </c>
      <c r="I2" s="3">
        <v>4926995.5778454607</v>
      </c>
      <c r="J2" s="3">
        <v>4604003.1550228139</v>
      </c>
      <c r="K2" s="3">
        <v>4926995.5778454607</v>
      </c>
      <c r="L2" s="3">
        <v>4926995.5778454607</v>
      </c>
      <c r="M2" s="3">
        <v>4926995.5778454607</v>
      </c>
      <c r="N2" s="3">
        <v>4950980.8921598541</v>
      </c>
      <c r="O2" s="3">
        <f>SUM(C2:N2)</f>
        <v>58824939.825637281</v>
      </c>
      <c r="Q2" s="5">
        <v>58711481</v>
      </c>
      <c r="R2" s="13">
        <f>(SUM(C2:E2))/1000</f>
        <v>14780.986733536382</v>
      </c>
    </row>
    <row r="3" spans="2:19" x14ac:dyDescent="0.3">
      <c r="B3" s="4" t="s">
        <v>0</v>
      </c>
      <c r="C3" s="3">
        <v>3239920.4654415054</v>
      </c>
      <c r="D3" s="3">
        <v>3239920.4654415054</v>
      </c>
      <c r="E3" s="3">
        <v>3239920.4654415054</v>
      </c>
      <c r="F3" s="3">
        <v>3239920.4654415054</v>
      </c>
      <c r="G3" s="3">
        <v>3239920.4654415054</v>
      </c>
      <c r="H3" s="3">
        <v>3239920.4654415054</v>
      </c>
      <c r="I3" s="3">
        <v>3239920.4654415054</v>
      </c>
      <c r="J3" s="3">
        <v>3027525.3568298505</v>
      </c>
      <c r="K3" s="3">
        <v>3239920.4654415054</v>
      </c>
      <c r="L3" s="3">
        <v>3239920.4654415054</v>
      </c>
      <c r="M3" s="3">
        <v>3239920.4654415054</v>
      </c>
      <c r="N3" s="3">
        <v>3255692.8584728041</v>
      </c>
      <c r="O3" s="3">
        <f t="shared" ref="O3:O11" si="0">SUM(C3:N3)</f>
        <v>38682422.86971771</v>
      </c>
      <c r="Q3" s="5">
        <v>38607814</v>
      </c>
      <c r="R3" s="13">
        <f t="shared" ref="R3:R11" si="1">(SUM(C3:E3))/1000</f>
        <v>9719.7613963245149</v>
      </c>
    </row>
    <row r="4" spans="2:19" x14ac:dyDescent="0.3">
      <c r="B4" s="4" t="s">
        <v>1</v>
      </c>
      <c r="C4" s="3">
        <v>4385017.2452583713</v>
      </c>
      <c r="D4" s="3">
        <v>4385017.2452583713</v>
      </c>
      <c r="E4" s="3">
        <v>4385017.2452583713</v>
      </c>
      <c r="F4" s="3">
        <v>4385017.2452583713</v>
      </c>
      <c r="G4" s="3">
        <v>4385017.2452583713</v>
      </c>
      <c r="H4" s="3">
        <v>4385017.2452583713</v>
      </c>
      <c r="I4" s="3">
        <v>4385017.2452583713</v>
      </c>
      <c r="J4" s="3">
        <v>4097554.5670831171</v>
      </c>
      <c r="K4" s="3">
        <v>4385017.2452583713</v>
      </c>
      <c r="L4" s="3">
        <v>4385017.2452583713</v>
      </c>
      <c r="M4" s="3">
        <v>4385017.2452583713</v>
      </c>
      <c r="N4" s="3">
        <v>4406364.1320659192</v>
      </c>
      <c r="O4" s="3">
        <f t="shared" si="0"/>
        <v>52354091.15173275</v>
      </c>
      <c r="Q4" s="5">
        <v>52253113</v>
      </c>
      <c r="R4" s="13">
        <f t="shared" si="1"/>
        <v>13155.051735775112</v>
      </c>
    </row>
    <row r="5" spans="2:19" x14ac:dyDescent="0.3">
      <c r="B5" s="4" t="s">
        <v>2</v>
      </c>
      <c r="C5" s="3">
        <v>5201338.3062350107</v>
      </c>
      <c r="D5" s="3">
        <v>5201338.3062350107</v>
      </c>
      <c r="E5" s="3">
        <v>5201338.3062350107</v>
      </c>
      <c r="F5" s="3">
        <v>5201338.3062350107</v>
      </c>
      <c r="G5" s="3">
        <v>5201338.3062350107</v>
      </c>
      <c r="H5" s="3">
        <v>5201338.3062350107</v>
      </c>
      <c r="I5" s="3">
        <v>5201338.3062350107</v>
      </c>
      <c r="J5" s="3">
        <v>4860361.1661285162</v>
      </c>
      <c r="K5" s="3">
        <v>5201338.3062350107</v>
      </c>
      <c r="L5" s="3">
        <v>5201338.3062350107</v>
      </c>
      <c r="M5" s="3">
        <v>5201338.3062350107</v>
      </c>
      <c r="N5" s="3">
        <v>5226659.1599194575</v>
      </c>
      <c r="O5" s="3">
        <f t="shared" si="0"/>
        <v>62100403.388398074</v>
      </c>
      <c r="Q5" s="5">
        <v>61980627</v>
      </c>
      <c r="R5" s="13">
        <f t="shared" si="1"/>
        <v>15604.014918705032</v>
      </c>
    </row>
    <row r="6" spans="2:19" x14ac:dyDescent="0.3">
      <c r="B6" s="4" t="s">
        <v>3</v>
      </c>
      <c r="C6" s="3">
        <v>9558219.6841259394</v>
      </c>
      <c r="D6" s="3">
        <v>9558219.6841259394</v>
      </c>
      <c r="E6" s="3">
        <v>9558219.6841259394</v>
      </c>
      <c r="F6" s="3">
        <v>9558219.6841259394</v>
      </c>
      <c r="G6" s="3">
        <v>9558219.6841259394</v>
      </c>
      <c r="H6" s="3">
        <v>9558219.6841259394</v>
      </c>
      <c r="I6" s="3">
        <v>9558219.6841259394</v>
      </c>
      <c r="J6" s="3">
        <v>8931624.3310615122</v>
      </c>
      <c r="K6" s="3">
        <v>9558219.6841259394</v>
      </c>
      <c r="L6" s="3">
        <v>9558219.6841259394</v>
      </c>
      <c r="M6" s="3">
        <v>9558219.6841259394</v>
      </c>
      <c r="N6" s="3">
        <v>9604750.4552191086</v>
      </c>
      <c r="O6" s="3">
        <f t="shared" si="0"/>
        <v>114118571.62754002</v>
      </c>
      <c r="Q6" s="5">
        <v>113898465</v>
      </c>
      <c r="R6" s="13">
        <f t="shared" si="1"/>
        <v>28674.659052377821</v>
      </c>
    </row>
    <row r="7" spans="2:19" x14ac:dyDescent="0.3">
      <c r="B7" s="4" t="s">
        <v>4</v>
      </c>
      <c r="C7" s="3">
        <v>7533467.2527173106</v>
      </c>
      <c r="D7" s="3">
        <v>7533467.2527173106</v>
      </c>
      <c r="E7" s="3">
        <v>7533467.2527173106</v>
      </c>
      <c r="F7" s="3">
        <v>7533467.2527173106</v>
      </c>
      <c r="G7" s="3">
        <v>7533467.2527173106</v>
      </c>
      <c r="H7" s="3">
        <v>7533467.2527173106</v>
      </c>
      <c r="I7" s="3">
        <v>7533467.2527173106</v>
      </c>
      <c r="J7" s="3">
        <v>7039605.8717265297</v>
      </c>
      <c r="K7" s="3">
        <v>7533467.2527173106</v>
      </c>
      <c r="L7" s="3">
        <v>7533467.2527173106</v>
      </c>
      <c r="M7" s="3">
        <v>7533467.2527173106</v>
      </c>
      <c r="N7" s="3">
        <v>7570141.2413740307</v>
      </c>
      <c r="O7" s="3">
        <f t="shared" si="0"/>
        <v>89944419.640273675</v>
      </c>
      <c r="Q7" s="5">
        <v>89770939</v>
      </c>
      <c r="R7" s="13">
        <f t="shared" si="1"/>
        <v>22600.401758151933</v>
      </c>
    </row>
    <row r="8" spans="2:19" x14ac:dyDescent="0.3">
      <c r="B8" s="4" t="s">
        <v>5</v>
      </c>
      <c r="C8" s="3">
        <v>3036689.7519184523</v>
      </c>
      <c r="D8" s="3">
        <v>3036689.7519184523</v>
      </c>
      <c r="E8" s="3">
        <v>3036689.7519184523</v>
      </c>
      <c r="F8" s="3">
        <v>3036689.7519184523</v>
      </c>
      <c r="G8" s="3">
        <v>3036689.7519184523</v>
      </c>
      <c r="H8" s="3">
        <v>3036689.7519184523</v>
      </c>
      <c r="I8" s="3">
        <v>3036689.7519184523</v>
      </c>
      <c r="J8" s="3">
        <v>2837617.5658699819</v>
      </c>
      <c r="K8" s="3">
        <v>3036689.7519184523</v>
      </c>
      <c r="L8" s="3">
        <v>3036689.7519184523</v>
      </c>
      <c r="M8" s="3">
        <v>3036689.7519184523</v>
      </c>
      <c r="N8" s="3">
        <v>3051472.7889689771</v>
      </c>
      <c r="O8" s="3">
        <f t="shared" si="0"/>
        <v>36255987.87402349</v>
      </c>
      <c r="Q8" s="5">
        <v>36186059</v>
      </c>
      <c r="R8" s="13">
        <f t="shared" si="1"/>
        <v>9110.0692557553575</v>
      </c>
    </row>
    <row r="9" spans="2:19" x14ac:dyDescent="0.3">
      <c r="B9" s="4" t="s">
        <v>6</v>
      </c>
      <c r="C9" s="3">
        <v>2198719.4092250564</v>
      </c>
      <c r="D9" s="3">
        <v>2198719.4092250564</v>
      </c>
      <c r="E9" s="3">
        <v>2198719.4092250564</v>
      </c>
      <c r="F9" s="3">
        <v>2198719.4092250564</v>
      </c>
      <c r="G9" s="3">
        <v>2198719.4092250564</v>
      </c>
      <c r="H9" s="3">
        <v>2198719.4092250564</v>
      </c>
      <c r="I9" s="3">
        <v>2198719.4092250564</v>
      </c>
      <c r="J9" s="3">
        <v>2054580.9179533976</v>
      </c>
      <c r="K9" s="3">
        <v>2198719.4092250564</v>
      </c>
      <c r="L9" s="3">
        <v>2198719.4092250564</v>
      </c>
      <c r="M9" s="3">
        <v>2198719.4092250564</v>
      </c>
      <c r="N9" s="3">
        <v>2209423.0876201731</v>
      </c>
      <c r="O9" s="3">
        <f t="shared" si="0"/>
        <v>26251198.097824138</v>
      </c>
      <c r="Q9" s="5">
        <v>26200566</v>
      </c>
      <c r="R9" s="13">
        <f t="shared" si="1"/>
        <v>6596.1582276751697</v>
      </c>
    </row>
    <row r="10" spans="2:19" x14ac:dyDescent="0.3">
      <c r="B10" s="4" t="s">
        <v>7</v>
      </c>
      <c r="C10" s="3">
        <v>5422996.1561808344</v>
      </c>
      <c r="D10" s="3">
        <v>5422996.1561808344</v>
      </c>
      <c r="E10" s="3">
        <v>5422996.1561808344</v>
      </c>
      <c r="F10" s="3">
        <v>5422996.1561808344</v>
      </c>
      <c r="G10" s="3">
        <v>5422996.1561808344</v>
      </c>
      <c r="H10" s="3">
        <v>5422996.1561808344</v>
      </c>
      <c r="I10" s="3">
        <v>5422996.1561808344</v>
      </c>
      <c r="J10" s="3">
        <v>5067488.090511187</v>
      </c>
      <c r="K10" s="3">
        <v>5422996.1561808344</v>
      </c>
      <c r="L10" s="3">
        <v>5422996.1561808344</v>
      </c>
      <c r="M10" s="3">
        <v>5422996.1561808344</v>
      </c>
      <c r="N10" s="3">
        <v>5449396.0717635928</v>
      </c>
      <c r="O10" s="3">
        <f t="shared" si="0"/>
        <v>64746845.724083133</v>
      </c>
      <c r="Q10" s="5">
        <v>64621965</v>
      </c>
      <c r="R10" s="13">
        <f t="shared" si="1"/>
        <v>16268.988468542504</v>
      </c>
    </row>
    <row r="11" spans="2:19" s="8" customFormat="1" x14ac:dyDescent="0.3">
      <c r="B11" s="6" t="s">
        <v>8</v>
      </c>
      <c r="C11" s="10">
        <f>SUM(C2:C10)</f>
        <v>45503363.848947935</v>
      </c>
      <c r="D11" s="10">
        <f t="shared" ref="D11:N11" si="2">SUM(D2:D10)</f>
        <v>45503363.848947935</v>
      </c>
      <c r="E11" s="10">
        <f t="shared" si="2"/>
        <v>45503363.848947935</v>
      </c>
      <c r="F11" s="10">
        <f t="shared" si="2"/>
        <v>45503363.848947935</v>
      </c>
      <c r="G11" s="10">
        <f t="shared" si="2"/>
        <v>45503363.848947935</v>
      </c>
      <c r="H11" s="10">
        <f t="shared" si="2"/>
        <v>45503363.848947935</v>
      </c>
      <c r="I11" s="10">
        <f t="shared" si="2"/>
        <v>45503363.848947935</v>
      </c>
      <c r="J11" s="10">
        <f t="shared" si="2"/>
        <v>42520361.022186898</v>
      </c>
      <c r="K11" s="10">
        <f t="shared" si="2"/>
        <v>45503363.848947935</v>
      </c>
      <c r="L11" s="10">
        <f t="shared" si="2"/>
        <v>45503363.848947935</v>
      </c>
      <c r="M11" s="10">
        <f t="shared" si="2"/>
        <v>45503363.848947935</v>
      </c>
      <c r="N11" s="10">
        <f t="shared" si="2"/>
        <v>45724880.687563919</v>
      </c>
      <c r="O11" s="3">
        <f t="shared" si="0"/>
        <v>543278880.19923019</v>
      </c>
      <c r="Q11" s="9">
        <f>SUM(Q2:Q10)</f>
        <v>542231029</v>
      </c>
      <c r="R11" s="13">
        <f t="shared" si="1"/>
        <v>136510.09154684379</v>
      </c>
    </row>
    <row r="13" spans="2:19" x14ac:dyDescent="0.3">
      <c r="B13" s="12" t="s">
        <v>22</v>
      </c>
      <c r="C13" s="7">
        <v>45839</v>
      </c>
      <c r="D13" s="7">
        <v>45870</v>
      </c>
      <c r="E13" s="7">
        <v>45901</v>
      </c>
      <c r="F13" s="7">
        <v>45931</v>
      </c>
      <c r="G13" s="7">
        <v>45962</v>
      </c>
      <c r="H13" s="7">
        <v>45992</v>
      </c>
      <c r="I13" s="7">
        <v>46023</v>
      </c>
      <c r="J13" s="7">
        <v>46054</v>
      </c>
      <c r="K13" s="7">
        <v>46082</v>
      </c>
      <c r="L13" s="7">
        <v>46113</v>
      </c>
      <c r="M13" s="7">
        <v>46143</v>
      </c>
      <c r="N13" s="7">
        <v>46174</v>
      </c>
      <c r="O13" s="6" t="s">
        <v>8</v>
      </c>
      <c r="Q13" s="6" t="s">
        <v>23</v>
      </c>
    </row>
    <row r="14" spans="2:19" x14ac:dyDescent="0.3">
      <c r="B14" s="4" t="s">
        <v>10</v>
      </c>
      <c r="C14" s="3">
        <v>988070.95084956847</v>
      </c>
      <c r="D14" s="3">
        <v>987981.95084956847</v>
      </c>
      <c r="E14" s="3">
        <v>987981.95084956847</v>
      </c>
      <c r="F14" s="3">
        <v>987981.95084956847</v>
      </c>
      <c r="G14" s="3">
        <v>987981.95084956847</v>
      </c>
      <c r="H14" s="3">
        <v>987981.95084956847</v>
      </c>
      <c r="I14" s="3">
        <v>987981.95084956847</v>
      </c>
      <c r="J14" s="3">
        <v>923214.14682619006</v>
      </c>
      <c r="K14" s="3">
        <v>987981.95084956847</v>
      </c>
      <c r="L14" s="3">
        <v>987981.95084956847</v>
      </c>
      <c r="M14" s="3">
        <v>987981.95084956847</v>
      </c>
      <c r="N14" s="3">
        <v>992791.58732146421</v>
      </c>
      <c r="O14" s="3">
        <f t="shared" ref="O14" si="3">SUM(C14:N14)</f>
        <v>11795914.242643338</v>
      </c>
      <c r="Q14" s="3">
        <v>11773074</v>
      </c>
      <c r="S14" s="14"/>
    </row>
    <row r="15" spans="2:19" x14ac:dyDescent="0.3">
      <c r="B15" s="4" t="s">
        <v>11</v>
      </c>
      <c r="C15" s="3">
        <v>756483.55935523496</v>
      </c>
      <c r="D15" s="3">
        <v>756415.55935523496</v>
      </c>
      <c r="E15" s="3">
        <v>756415.55935523496</v>
      </c>
      <c r="F15" s="3">
        <v>756415.55935523496</v>
      </c>
      <c r="G15" s="3">
        <v>756415.55935523496</v>
      </c>
      <c r="H15" s="3">
        <v>756415.55935523496</v>
      </c>
      <c r="I15" s="3">
        <v>756415.55935523496</v>
      </c>
      <c r="J15" s="3">
        <v>706828.2418273933</v>
      </c>
      <c r="K15" s="3">
        <v>756415.55935523496</v>
      </c>
      <c r="L15" s="3">
        <v>756415.55935523496</v>
      </c>
      <c r="M15" s="3">
        <v>756415.55935523496</v>
      </c>
      <c r="N15" s="3">
        <v>760097.89774112951</v>
      </c>
      <c r="O15" s="3">
        <f>SUM(C15:N15)</f>
        <v>9031149.7331208698</v>
      </c>
      <c r="Q15" s="3">
        <v>9013663</v>
      </c>
      <c r="S15" s="14"/>
    </row>
    <row r="16" spans="2:19" x14ac:dyDescent="0.3">
      <c r="B16" s="4" t="s">
        <v>12</v>
      </c>
      <c r="C16" s="3">
        <v>766540.88186693471</v>
      </c>
      <c r="D16" s="3">
        <v>766471.88186693471</v>
      </c>
      <c r="E16" s="3">
        <v>766471.88186693471</v>
      </c>
      <c r="F16" s="3">
        <v>766471.88186693471</v>
      </c>
      <c r="G16" s="3">
        <v>766471.88186693471</v>
      </c>
      <c r="H16" s="3">
        <v>766471.88186693471</v>
      </c>
      <c r="I16" s="3">
        <v>766471.88186693471</v>
      </c>
      <c r="J16" s="3">
        <v>716225.31552885554</v>
      </c>
      <c r="K16" s="3">
        <v>766471.88186693471</v>
      </c>
      <c r="L16" s="3">
        <v>766471.88186693471</v>
      </c>
      <c r="M16" s="3">
        <v>766471.88186693471</v>
      </c>
      <c r="N16" s="3">
        <v>770203.17585923872</v>
      </c>
      <c r="O16" s="3">
        <f t="shared" ref="O16:O23" si="4">SUM(C16:N16)</f>
        <v>9151216.3100574408</v>
      </c>
      <c r="Q16" s="3">
        <v>9133497</v>
      </c>
      <c r="S16" s="14"/>
    </row>
    <row r="17" spans="2:19" x14ac:dyDescent="0.3">
      <c r="B17" s="4" t="s">
        <v>16</v>
      </c>
      <c r="C17" s="3">
        <v>205583.2499313587</v>
      </c>
      <c r="D17" s="3">
        <v>205565.2499313587</v>
      </c>
      <c r="E17" s="3">
        <v>205565.2499313587</v>
      </c>
      <c r="F17" s="3">
        <v>205565.2499313587</v>
      </c>
      <c r="G17" s="3">
        <v>205565.2499313587</v>
      </c>
      <c r="H17" s="3">
        <v>205565.2499313587</v>
      </c>
      <c r="I17" s="3">
        <v>205565.2499313587</v>
      </c>
      <c r="J17" s="3">
        <v>192089.28530455322</v>
      </c>
      <c r="K17" s="3">
        <v>205565.2499313587</v>
      </c>
      <c r="L17" s="3">
        <v>205565.2499313587</v>
      </c>
      <c r="M17" s="3">
        <v>205565.2499313587</v>
      </c>
      <c r="N17" s="3">
        <v>206565.97076697118</v>
      </c>
      <c r="O17" s="3">
        <f t="shared" si="4"/>
        <v>2454325.7553851116</v>
      </c>
      <c r="Q17" s="3">
        <v>2449574</v>
      </c>
      <c r="S17" s="14"/>
    </row>
    <row r="18" spans="2:19" x14ac:dyDescent="0.3">
      <c r="B18" s="4" t="s">
        <v>19</v>
      </c>
      <c r="C18" s="3">
        <v>76777.23828682286</v>
      </c>
      <c r="D18" s="3">
        <v>76770.23828682286</v>
      </c>
      <c r="E18" s="3">
        <v>76770.23828682286</v>
      </c>
      <c r="F18" s="3">
        <v>76770.23828682286</v>
      </c>
      <c r="G18" s="3">
        <v>76770.23828682286</v>
      </c>
      <c r="H18" s="3">
        <v>76770.23828682286</v>
      </c>
      <c r="I18" s="3">
        <v>76770.23828682286</v>
      </c>
      <c r="J18" s="3">
        <v>71737.515023089785</v>
      </c>
      <c r="K18" s="3">
        <v>76770.23828682286</v>
      </c>
      <c r="L18" s="3">
        <v>76770.23828682286</v>
      </c>
      <c r="M18" s="3">
        <v>76770.23828682286</v>
      </c>
      <c r="N18" s="3">
        <v>77143.966711418994</v>
      </c>
      <c r="O18" s="3">
        <f t="shared" si="4"/>
        <v>916590.86460273736</v>
      </c>
      <c r="Q18" s="3">
        <v>914816</v>
      </c>
      <c r="S18" s="14"/>
    </row>
    <row r="19" spans="2:19" x14ac:dyDescent="0.3">
      <c r="B19" s="4" t="s">
        <v>17</v>
      </c>
      <c r="C19" s="3">
        <v>57898.800741433326</v>
      </c>
      <c r="D19" s="3">
        <v>57893.800741433326</v>
      </c>
      <c r="E19" s="3">
        <v>57893.800741433326</v>
      </c>
      <c r="F19" s="3">
        <v>57893.800741433326</v>
      </c>
      <c r="G19" s="3">
        <v>57893.800741433326</v>
      </c>
      <c r="H19" s="3">
        <v>57893.800741433326</v>
      </c>
      <c r="I19" s="3">
        <v>57893.800741433326</v>
      </c>
      <c r="J19" s="3">
        <v>54098.534707104118</v>
      </c>
      <c r="K19" s="3">
        <v>57893.800741433326</v>
      </c>
      <c r="L19" s="3">
        <v>57893.800741433326</v>
      </c>
      <c r="M19" s="3">
        <v>57893.800741433326</v>
      </c>
      <c r="N19" s="3">
        <v>58175.635986807218</v>
      </c>
      <c r="O19" s="3">
        <f t="shared" si="4"/>
        <v>691217.17810824455</v>
      </c>
      <c r="Q19" s="3">
        <v>689879</v>
      </c>
      <c r="S19" s="14"/>
    </row>
    <row r="20" spans="2:19" x14ac:dyDescent="0.3">
      <c r="B20" s="4" t="s">
        <v>18</v>
      </c>
      <c r="C20" s="3">
        <v>62516.843917399223</v>
      </c>
      <c r="D20" s="3">
        <v>62510.843917399223</v>
      </c>
      <c r="E20" s="3">
        <v>62510.843917399223</v>
      </c>
      <c r="F20" s="3">
        <v>62510.843917399223</v>
      </c>
      <c r="G20" s="3">
        <v>62510.843917399223</v>
      </c>
      <c r="H20" s="3">
        <v>62510.843917399223</v>
      </c>
      <c r="I20" s="3">
        <v>62510.843917399223</v>
      </c>
      <c r="J20" s="3">
        <v>58412.904593005056</v>
      </c>
      <c r="K20" s="3">
        <v>62510.843917399223</v>
      </c>
      <c r="L20" s="3">
        <v>62510.843917399223</v>
      </c>
      <c r="M20" s="3">
        <v>62510.843917399223</v>
      </c>
      <c r="N20" s="3">
        <v>62815.155584768829</v>
      </c>
      <c r="O20" s="3">
        <f t="shared" si="4"/>
        <v>746342.49935176608</v>
      </c>
      <c r="Q20" s="3">
        <v>744897</v>
      </c>
      <c r="S20" s="14"/>
    </row>
    <row r="21" spans="2:19" x14ac:dyDescent="0.3">
      <c r="B21" s="4" t="s">
        <v>15</v>
      </c>
      <c r="C21" s="3">
        <v>692342.5514619071</v>
      </c>
      <c r="D21" s="3">
        <v>692280.5514619071</v>
      </c>
      <c r="E21" s="3">
        <v>692280.5514619071</v>
      </c>
      <c r="F21" s="3">
        <v>692280.5514619071</v>
      </c>
      <c r="G21" s="3">
        <v>692280.5514619071</v>
      </c>
      <c r="H21" s="3">
        <v>692280.5514619071</v>
      </c>
      <c r="I21" s="3">
        <v>692280.5514619071</v>
      </c>
      <c r="J21" s="3">
        <v>646897.64639190526</v>
      </c>
      <c r="K21" s="3">
        <v>692280.5514619071</v>
      </c>
      <c r="L21" s="3">
        <v>692280.5514619071</v>
      </c>
      <c r="M21" s="3">
        <v>692280.5514619071</v>
      </c>
      <c r="N21" s="3">
        <v>695650.67151949741</v>
      </c>
      <c r="O21" s="3">
        <f t="shared" si="4"/>
        <v>8265415.8325304734</v>
      </c>
      <c r="Q21" s="3">
        <v>8249412</v>
      </c>
      <c r="S21" s="14"/>
    </row>
    <row r="22" spans="2:19" x14ac:dyDescent="0.3">
      <c r="B22" s="4" t="s">
        <v>13</v>
      </c>
      <c r="C22" s="3">
        <v>582786.82848113682</v>
      </c>
      <c r="D22" s="3">
        <v>582734.82848113682</v>
      </c>
      <c r="E22" s="3">
        <v>582734.82848113682</v>
      </c>
      <c r="F22" s="3">
        <v>582734.82848113682</v>
      </c>
      <c r="G22" s="3">
        <v>582734.82848113682</v>
      </c>
      <c r="H22" s="3">
        <v>582734.82848113682</v>
      </c>
      <c r="I22" s="3">
        <v>582734.82848113682</v>
      </c>
      <c r="J22" s="3">
        <v>544533.26504548045</v>
      </c>
      <c r="K22" s="3">
        <v>582734.82848113682</v>
      </c>
      <c r="L22" s="3">
        <v>582734.82848113682</v>
      </c>
      <c r="M22" s="3">
        <v>582734.82848113682</v>
      </c>
      <c r="N22" s="3">
        <v>585571.66439913784</v>
      </c>
      <c r="O22" s="3">
        <f t="shared" si="4"/>
        <v>6957505.2142559867</v>
      </c>
      <c r="Q22" s="3">
        <v>6944034</v>
      </c>
      <c r="S22" s="14"/>
    </row>
    <row r="23" spans="2:19" x14ac:dyDescent="0.3">
      <c r="B23" s="4" t="s">
        <v>14</v>
      </c>
      <c r="C23" s="3">
        <v>738436.67295366467</v>
      </c>
      <c r="D23" s="3">
        <v>738370.67295366467</v>
      </c>
      <c r="E23" s="3">
        <v>738370.67295366467</v>
      </c>
      <c r="F23" s="3">
        <v>738370.67295366467</v>
      </c>
      <c r="G23" s="3">
        <v>738370.67295366467</v>
      </c>
      <c r="H23" s="3">
        <v>738370.67295366467</v>
      </c>
      <c r="I23" s="3">
        <v>738370.67295366467</v>
      </c>
      <c r="J23" s="3">
        <v>689966.29977523745</v>
      </c>
      <c r="K23" s="3">
        <v>738370.67295366467</v>
      </c>
      <c r="L23" s="3">
        <v>738370.67295366467</v>
      </c>
      <c r="M23" s="3">
        <v>738370.67295366467</v>
      </c>
      <c r="N23" s="3">
        <v>741965.16626942041</v>
      </c>
      <c r="O23" s="3">
        <f t="shared" si="4"/>
        <v>8815704.195581302</v>
      </c>
      <c r="Q23" s="3">
        <v>8798635</v>
      </c>
      <c r="S23" s="14"/>
    </row>
    <row r="24" spans="2:19" s="8" customFormat="1" x14ac:dyDescent="0.3">
      <c r="B24" s="6" t="s">
        <v>8</v>
      </c>
      <c r="C24" s="10">
        <f>SUM(C14:C23)</f>
        <v>4927437.5778454607</v>
      </c>
      <c r="D24" s="10">
        <f t="shared" ref="D24:N24" si="5">SUM(D14:D23)</f>
        <v>4926995.5778454607</v>
      </c>
      <c r="E24" s="10">
        <f t="shared" si="5"/>
        <v>4926995.5778454607</v>
      </c>
      <c r="F24" s="10">
        <f t="shared" si="5"/>
        <v>4926995.5778454607</v>
      </c>
      <c r="G24" s="10">
        <f t="shared" si="5"/>
        <v>4926995.5778454607</v>
      </c>
      <c r="H24" s="10">
        <f t="shared" si="5"/>
        <v>4926995.5778454607</v>
      </c>
      <c r="I24" s="10">
        <f t="shared" si="5"/>
        <v>4926995.5778454607</v>
      </c>
      <c r="J24" s="10">
        <f t="shared" si="5"/>
        <v>4604003.1550228149</v>
      </c>
      <c r="K24" s="10">
        <f t="shared" si="5"/>
        <v>4926995.5778454607</v>
      </c>
      <c r="L24" s="10">
        <f t="shared" si="5"/>
        <v>4926995.5778454607</v>
      </c>
      <c r="M24" s="10">
        <f t="shared" si="5"/>
        <v>4926995.5778454607</v>
      </c>
      <c r="N24" s="10">
        <f t="shared" si="5"/>
        <v>4950980.892159855</v>
      </c>
      <c r="O24" s="10">
        <f>SUM(O14:O23)</f>
        <v>58825381.825637273</v>
      </c>
      <c r="Q24" s="10">
        <f>SUM(Q14:Q23)</f>
        <v>58711481</v>
      </c>
      <c r="S24" s="14"/>
    </row>
    <row r="25" spans="2:19" x14ac:dyDescent="0.3"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BA949-2471-48F8-A483-182A38B82AF7}">
  <sheetPr codeName="Sheet3"/>
  <dimension ref="B1:R27"/>
  <sheetViews>
    <sheetView tabSelected="1" topLeftCell="A5" zoomScale="105" zoomScaleNormal="70" workbookViewId="0">
      <selection activeCell="B25" sqref="B25"/>
    </sheetView>
  </sheetViews>
  <sheetFormatPr defaultRowHeight="14.4" x14ac:dyDescent="0.3"/>
  <cols>
    <col min="2" max="2" width="34.33203125" bestFit="1" customWidth="1"/>
    <col min="3" max="14" width="11.77734375" bestFit="1" customWidth="1"/>
    <col min="15" max="15" width="12.77734375" bestFit="1" customWidth="1"/>
    <col min="16" max="16" width="0.6640625" customWidth="1"/>
    <col min="17" max="17" width="12.77734375" bestFit="1" customWidth="1"/>
    <col min="18" max="18" width="9" bestFit="1" customWidth="1"/>
  </cols>
  <sheetData>
    <row r="1" spans="2:18" x14ac:dyDescent="0.3">
      <c r="B1" s="6" t="s">
        <v>20</v>
      </c>
      <c r="C1" s="7">
        <v>45839</v>
      </c>
      <c r="D1" s="7">
        <v>45870</v>
      </c>
      <c r="E1" s="7">
        <v>45901</v>
      </c>
      <c r="F1" s="7">
        <v>45931</v>
      </c>
      <c r="G1" s="7">
        <v>45962</v>
      </c>
      <c r="H1" s="7">
        <v>45992</v>
      </c>
      <c r="I1" s="7">
        <v>46023</v>
      </c>
      <c r="J1" s="7">
        <v>46054</v>
      </c>
      <c r="K1" s="7">
        <v>46082</v>
      </c>
      <c r="L1" s="7">
        <v>46113</v>
      </c>
      <c r="M1" s="7">
        <v>46143</v>
      </c>
      <c r="N1" s="7">
        <v>46174</v>
      </c>
      <c r="O1" s="6" t="s">
        <v>8</v>
      </c>
      <c r="Q1" s="6" t="s">
        <v>23</v>
      </c>
    </row>
    <row r="2" spans="2:18" x14ac:dyDescent="0.3">
      <c r="B2" s="2" t="s">
        <v>9</v>
      </c>
      <c r="C2" s="3">
        <v>1245235.2852650564</v>
      </c>
      <c r="D2" s="3">
        <v>1245001.2852650564</v>
      </c>
      <c r="E2" s="3">
        <v>1245001.2852650564</v>
      </c>
      <c r="F2" s="3">
        <v>1521676.8996298464</v>
      </c>
      <c r="G2" s="3">
        <v>1521676.8996298464</v>
      </c>
      <c r="H2" s="3">
        <v>1245001.2852650564</v>
      </c>
      <c r="I2" s="3">
        <v>1106702.4574591585</v>
      </c>
      <c r="J2" s="3">
        <v>1106702.4574591585</v>
      </c>
      <c r="K2" s="3">
        <v>1245001.2852650564</v>
      </c>
      <c r="L2" s="3">
        <v>1573363.5528628288</v>
      </c>
      <c r="M2" s="3">
        <v>1521676.8996298464</v>
      </c>
      <c r="N2" s="3">
        <v>1245001.2852650564</v>
      </c>
      <c r="O2" s="3">
        <f>SUM(C2:N2)</f>
        <v>15822040.878261024</v>
      </c>
      <c r="Q2" s="3">
        <v>14972076</v>
      </c>
      <c r="R2" s="13">
        <f>(SUM(C2:E2))/1000</f>
        <v>3735.2378557951693</v>
      </c>
    </row>
    <row r="3" spans="2:18" x14ac:dyDescent="0.3">
      <c r="B3" s="2" t="s">
        <v>0</v>
      </c>
      <c r="C3" s="3">
        <v>1128991.4037308595</v>
      </c>
      <c r="D3" s="3">
        <v>1128991.4037308595</v>
      </c>
      <c r="E3" s="3">
        <v>1128991.4037308595</v>
      </c>
      <c r="F3" s="3">
        <v>1379886.2372838233</v>
      </c>
      <c r="G3" s="3">
        <v>1379886.2372838233</v>
      </c>
      <c r="H3" s="3">
        <v>1128991.4037308595</v>
      </c>
      <c r="I3" s="3">
        <v>1003579.3342118534</v>
      </c>
      <c r="J3" s="3">
        <v>1003579.3342118534</v>
      </c>
      <c r="K3" s="3">
        <v>1128991.4037308595</v>
      </c>
      <c r="L3" s="3">
        <v>1426756.700694816</v>
      </c>
      <c r="M3" s="3">
        <v>1379886.2372838233</v>
      </c>
      <c r="N3" s="3">
        <v>1128991.4037308595</v>
      </c>
      <c r="O3" s="3">
        <f t="shared" ref="O3:O10" si="0">SUM(C3:N3)</f>
        <v>14347522.503355151</v>
      </c>
      <c r="Q3" s="3">
        <v>13576970</v>
      </c>
      <c r="R3" s="13">
        <f t="shared" ref="R3:R11" si="1">(SUM(C3:E3))/1000</f>
        <v>3386.9742111925784</v>
      </c>
    </row>
    <row r="4" spans="2:18" x14ac:dyDescent="0.3">
      <c r="B4" s="2" t="s">
        <v>1</v>
      </c>
      <c r="C4" s="3">
        <v>1349972.1892639063</v>
      </c>
      <c r="D4" s="3">
        <v>1349972.1892639063</v>
      </c>
      <c r="E4" s="3">
        <v>1349972.1892639063</v>
      </c>
      <c r="F4" s="3">
        <v>1649975.4015179838</v>
      </c>
      <c r="G4" s="3">
        <v>1649975.4015179838</v>
      </c>
      <c r="H4" s="3">
        <v>1349972.1892639063</v>
      </c>
      <c r="I4" s="3">
        <v>1200012.8490163079</v>
      </c>
      <c r="J4" s="3">
        <v>1200012.8490163079</v>
      </c>
      <c r="K4" s="3">
        <v>1349972.1892639063</v>
      </c>
      <c r="L4" s="3">
        <v>1706019.9576533602</v>
      </c>
      <c r="M4" s="3">
        <v>1649975.4015179838</v>
      </c>
      <c r="N4" s="3">
        <v>1349972.1892639063</v>
      </c>
      <c r="O4" s="3">
        <f t="shared" si="0"/>
        <v>17155804.995823368</v>
      </c>
      <c r="Q4" s="3">
        <v>16464308</v>
      </c>
      <c r="R4" s="13">
        <f t="shared" si="1"/>
        <v>4049.916567791719</v>
      </c>
    </row>
    <row r="5" spans="2:18" x14ac:dyDescent="0.3">
      <c r="B5" s="2" t="s">
        <v>2</v>
      </c>
      <c r="C5" s="3">
        <v>2829323.653300534</v>
      </c>
      <c r="D5" s="3">
        <v>2829323.653300534</v>
      </c>
      <c r="E5" s="3">
        <v>2829323.653300534</v>
      </c>
      <c r="F5" s="3">
        <v>3458081.9279131587</v>
      </c>
      <c r="G5" s="3">
        <v>3458081.9279131587</v>
      </c>
      <c r="H5" s="3">
        <v>2829323.653300534</v>
      </c>
      <c r="I5" s="3">
        <v>2515033.0984504963</v>
      </c>
      <c r="J5" s="3">
        <v>2515033.0984504963</v>
      </c>
      <c r="K5" s="3">
        <v>2829323.653300534</v>
      </c>
      <c r="L5" s="3">
        <v>3575542.2649287032</v>
      </c>
      <c r="M5" s="3">
        <v>3458081.9279131587</v>
      </c>
      <c r="N5" s="3">
        <v>2829323.653300534</v>
      </c>
      <c r="O5" s="3">
        <f t="shared" si="0"/>
        <v>35955796.165372379</v>
      </c>
      <c r="Q5" s="3">
        <v>34024743</v>
      </c>
      <c r="R5" s="13">
        <f t="shared" si="1"/>
        <v>8487.9709599016005</v>
      </c>
    </row>
    <row r="6" spans="2:18" x14ac:dyDescent="0.3">
      <c r="B6" s="2" t="s">
        <v>3</v>
      </c>
      <c r="C6" s="3">
        <v>1337774.1989160394</v>
      </c>
      <c r="D6" s="3">
        <v>1337774.1989160394</v>
      </c>
      <c r="E6" s="3">
        <v>1337774.1989160394</v>
      </c>
      <c r="F6" s="3">
        <v>1635066.6617809758</v>
      </c>
      <c r="G6" s="3">
        <v>1635066.6617809758</v>
      </c>
      <c r="H6" s="3">
        <v>1337774.1989160394</v>
      </c>
      <c r="I6" s="3">
        <v>1189169.8514597444</v>
      </c>
      <c r="J6" s="3">
        <v>1189169.8514597444</v>
      </c>
      <c r="K6" s="3">
        <v>1337774.1989160394</v>
      </c>
      <c r="L6" s="3">
        <v>1690604.814184315</v>
      </c>
      <c r="M6" s="3">
        <v>1635066.6617809758</v>
      </c>
      <c r="N6" s="3">
        <v>1337774.1989160394</v>
      </c>
      <c r="O6" s="3">
        <f t="shared" si="0"/>
        <v>17000789.695942972</v>
      </c>
      <c r="Q6" s="3">
        <v>16087740</v>
      </c>
      <c r="R6" s="13">
        <f t="shared" si="1"/>
        <v>4013.3225967481185</v>
      </c>
    </row>
    <row r="7" spans="2:18" x14ac:dyDescent="0.3">
      <c r="B7" s="2" t="s">
        <v>4</v>
      </c>
      <c r="C7" s="3">
        <v>1832713.7483762018</v>
      </c>
      <c r="D7" s="3">
        <v>1832713.7483762018</v>
      </c>
      <c r="E7" s="3">
        <v>1832713.7483762018</v>
      </c>
      <c r="F7" s="3">
        <v>2239996.2213246776</v>
      </c>
      <c r="G7" s="3">
        <v>2239996.2213246776</v>
      </c>
      <c r="H7" s="3">
        <v>1832713.7483762018</v>
      </c>
      <c r="I7" s="3">
        <v>1629129.8917939006</v>
      </c>
      <c r="J7" s="3">
        <v>1629129.8917939006</v>
      </c>
      <c r="K7" s="3">
        <v>1832713.7483762018</v>
      </c>
      <c r="L7" s="3">
        <v>2316081.9580293372</v>
      </c>
      <c r="M7" s="3">
        <v>2239996.2213246776</v>
      </c>
      <c r="N7" s="3">
        <v>1832713.7483762018</v>
      </c>
      <c r="O7" s="3">
        <f t="shared" si="0"/>
        <v>23290612.895848386</v>
      </c>
      <c r="Q7" s="3">
        <v>22039760</v>
      </c>
      <c r="R7" s="13">
        <f t="shared" si="1"/>
        <v>5498.1412451286051</v>
      </c>
    </row>
    <row r="8" spans="2:18" x14ac:dyDescent="0.3">
      <c r="B8" s="2" t="s">
        <v>5</v>
      </c>
      <c r="C8" s="3">
        <v>1823679.3025425777</v>
      </c>
      <c r="D8" s="3">
        <v>1823679.3025425777</v>
      </c>
      <c r="E8" s="3">
        <v>1823679.3025425777</v>
      </c>
      <c r="F8" s="3">
        <v>2228954.058004295</v>
      </c>
      <c r="G8" s="3">
        <v>2228954.058004295</v>
      </c>
      <c r="H8" s="3">
        <v>1823679.3025425777</v>
      </c>
      <c r="I8" s="3">
        <v>1621099.0218468669</v>
      </c>
      <c r="J8" s="3">
        <v>1621099.0218468669</v>
      </c>
      <c r="K8" s="3">
        <v>1823679.3025425777</v>
      </c>
      <c r="L8" s="3">
        <v>2304664.7266070326</v>
      </c>
      <c r="M8" s="3">
        <v>2228954.058004295</v>
      </c>
      <c r="N8" s="3">
        <v>1823679.3025425777</v>
      </c>
      <c r="O8" s="3">
        <f t="shared" si="0"/>
        <v>23175800.759569116</v>
      </c>
      <c r="Q8" s="3">
        <v>21931114</v>
      </c>
      <c r="R8" s="13">
        <f t="shared" si="1"/>
        <v>5471.0379076277331</v>
      </c>
    </row>
    <row r="9" spans="2:18" x14ac:dyDescent="0.3">
      <c r="B9" s="2" t="s">
        <v>6</v>
      </c>
      <c r="C9" s="3">
        <v>3517300.0380419889</v>
      </c>
      <c r="D9" s="3">
        <v>3517300.0380419889</v>
      </c>
      <c r="E9" s="3">
        <v>3517300.0380419889</v>
      </c>
      <c r="F9" s="3">
        <v>4298946.7402969077</v>
      </c>
      <c r="G9" s="3">
        <v>4298946.7402969077</v>
      </c>
      <c r="H9" s="3">
        <v>3517300.0380419889</v>
      </c>
      <c r="I9" s="3">
        <v>3126586.8090196699</v>
      </c>
      <c r="J9" s="3">
        <v>3126586.8090196699</v>
      </c>
      <c r="K9" s="3">
        <v>3517300.0380419889</v>
      </c>
      <c r="L9" s="3">
        <v>4444968.6517071659</v>
      </c>
      <c r="M9" s="3">
        <v>4298946.7402969077</v>
      </c>
      <c r="N9" s="3">
        <v>3517300.0380419889</v>
      </c>
      <c r="O9" s="3">
        <f t="shared" si="0"/>
        <v>44698782.718889162</v>
      </c>
      <c r="Q9" s="3">
        <v>42518173</v>
      </c>
      <c r="R9" s="13">
        <f t="shared" si="1"/>
        <v>10551.900114125967</v>
      </c>
    </row>
    <row r="10" spans="2:18" x14ac:dyDescent="0.3">
      <c r="B10" s="2" t="s">
        <v>7</v>
      </c>
      <c r="C10" s="3">
        <v>4018071.4891796149</v>
      </c>
      <c r="D10" s="3">
        <v>4018071.4891796149</v>
      </c>
      <c r="E10" s="3">
        <v>4018071.4891796149</v>
      </c>
      <c r="F10" s="3">
        <v>4911004.2202440156</v>
      </c>
      <c r="G10" s="3">
        <v>4911004.2202440156</v>
      </c>
      <c r="H10" s="3">
        <v>4018071.4891796149</v>
      </c>
      <c r="I10" s="3">
        <v>3571730.9242576002</v>
      </c>
      <c r="J10" s="3">
        <v>3571730.9242576002</v>
      </c>
      <c r="K10" s="3">
        <v>4018071.4891796149</v>
      </c>
      <c r="L10" s="3">
        <v>5077815.8293439578</v>
      </c>
      <c r="M10" s="3">
        <v>4911004.2202440156</v>
      </c>
      <c r="N10" s="3">
        <v>4018071.4891796149</v>
      </c>
      <c r="O10" s="3">
        <f t="shared" si="0"/>
        <v>51062719.2736689</v>
      </c>
      <c r="Q10" s="3">
        <v>48320329</v>
      </c>
      <c r="R10" s="13">
        <f t="shared" si="1"/>
        <v>12054.214467538844</v>
      </c>
    </row>
    <row r="11" spans="2:18" s="8" customFormat="1" x14ac:dyDescent="0.3">
      <c r="B11" s="11" t="s">
        <v>8</v>
      </c>
      <c r="C11" s="10">
        <f>SUM(C2:C10)</f>
        <v>19083061.30861678</v>
      </c>
      <c r="D11" s="10">
        <f t="shared" ref="D11:Q11" si="2">SUM(D2:D10)</f>
        <v>19082827.30861678</v>
      </c>
      <c r="E11" s="10">
        <f t="shared" si="2"/>
        <v>19082827.30861678</v>
      </c>
      <c r="F11" s="10">
        <f t="shared" si="2"/>
        <v>23323588.367995683</v>
      </c>
      <c r="G11" s="10">
        <f t="shared" si="2"/>
        <v>23323588.367995683</v>
      </c>
      <c r="H11" s="10">
        <f t="shared" si="2"/>
        <v>19082827.30861678</v>
      </c>
      <c r="I11" s="10">
        <f t="shared" si="2"/>
        <v>16963044.237515599</v>
      </c>
      <c r="J11" s="10">
        <f t="shared" si="2"/>
        <v>16963044.237515599</v>
      </c>
      <c r="K11" s="10">
        <f t="shared" si="2"/>
        <v>19082827.30861678</v>
      </c>
      <c r="L11" s="10">
        <f t="shared" si="2"/>
        <v>24115818.456011519</v>
      </c>
      <c r="M11" s="10">
        <f t="shared" si="2"/>
        <v>23323588.367995683</v>
      </c>
      <c r="N11" s="10">
        <f t="shared" si="2"/>
        <v>19082827.30861678</v>
      </c>
      <c r="O11" s="10">
        <f t="shared" si="2"/>
        <v>242509869.88673043</v>
      </c>
      <c r="Q11" s="10">
        <f t="shared" si="2"/>
        <v>229935213</v>
      </c>
      <c r="R11" s="13">
        <f t="shared" si="1"/>
        <v>57248.715925850338</v>
      </c>
    </row>
    <row r="13" spans="2:18" x14ac:dyDescent="0.3">
      <c r="B13" s="3" t="s">
        <v>10</v>
      </c>
      <c r="C13" s="3">
        <v>116001.40315539377</v>
      </c>
      <c r="D13" s="3">
        <v>115979.61315539377</v>
      </c>
      <c r="E13" s="3">
        <v>115979.61315539377</v>
      </c>
      <c r="F13" s="3">
        <v>141753.66745022743</v>
      </c>
      <c r="G13" s="3">
        <v>141753.66745022743</v>
      </c>
      <c r="H13" s="3">
        <v>115979.61315539377</v>
      </c>
      <c r="I13" s="3">
        <v>103096.21717933449</v>
      </c>
      <c r="J13" s="3">
        <v>103096.21717933449</v>
      </c>
      <c r="K13" s="3">
        <v>115979.61315539377</v>
      </c>
      <c r="L13" s="3">
        <v>146568.60067014137</v>
      </c>
      <c r="M13" s="3">
        <v>141753.66745022743</v>
      </c>
      <c r="N13" s="3">
        <v>115979.61315539377</v>
      </c>
      <c r="O13" s="3">
        <f>SUM(C13:N13)</f>
        <v>1473921.5063118553</v>
      </c>
      <c r="Q13" s="3">
        <v>1394742</v>
      </c>
    </row>
    <row r="14" spans="2:18" x14ac:dyDescent="0.3">
      <c r="B14" s="3" t="s">
        <v>11</v>
      </c>
      <c r="C14" s="3">
        <v>131795.39300793721</v>
      </c>
      <c r="D14" s="3">
        <v>131770.64300793721</v>
      </c>
      <c r="E14" s="3">
        <v>131770.64300793721</v>
      </c>
      <c r="F14" s="3">
        <v>161053.92491370864</v>
      </c>
      <c r="G14" s="3">
        <v>161053.92491370864</v>
      </c>
      <c r="H14" s="3">
        <v>131770.64300793721</v>
      </c>
      <c r="I14" s="3">
        <v>117133.12762308569</v>
      </c>
      <c r="J14" s="3">
        <v>117133.12762308569</v>
      </c>
      <c r="K14" s="3">
        <v>131770.64300793721</v>
      </c>
      <c r="L14" s="3">
        <v>166524.4281268747</v>
      </c>
      <c r="M14" s="3">
        <v>161053.92491370864</v>
      </c>
      <c r="N14" s="3">
        <v>131770.64300793721</v>
      </c>
      <c r="O14" s="3">
        <f t="shared" ref="O14:O22" si="3">SUM(C14:N14)</f>
        <v>1674601.0661617948</v>
      </c>
      <c r="Q14" s="3">
        <v>1584641</v>
      </c>
    </row>
    <row r="15" spans="2:18" x14ac:dyDescent="0.3">
      <c r="B15" s="3" t="s">
        <v>12</v>
      </c>
      <c r="C15" s="3">
        <v>140117.60729308455</v>
      </c>
      <c r="D15" s="3">
        <v>140091.28729308455</v>
      </c>
      <c r="E15" s="3">
        <v>140091.28729308455</v>
      </c>
      <c r="F15" s="3">
        <v>171223.65915301934</v>
      </c>
      <c r="G15" s="3">
        <v>171223.65915301934</v>
      </c>
      <c r="H15" s="3">
        <v>140091.28729308455</v>
      </c>
      <c r="I15" s="3">
        <v>124529.48743973892</v>
      </c>
      <c r="J15" s="3">
        <v>124529.48743973892</v>
      </c>
      <c r="K15" s="3">
        <v>140091.28729308455</v>
      </c>
      <c r="L15" s="3">
        <v>177039.59675322688</v>
      </c>
      <c r="M15" s="3">
        <v>171223.65915301934</v>
      </c>
      <c r="N15" s="3">
        <v>140091.28729308455</v>
      </c>
      <c r="O15" s="3">
        <f t="shared" si="3"/>
        <v>1780343.5928502697</v>
      </c>
      <c r="Q15" s="3">
        <v>1684703</v>
      </c>
    </row>
    <row r="16" spans="2:18" x14ac:dyDescent="0.3">
      <c r="B16" s="3" t="s">
        <v>16</v>
      </c>
      <c r="C16" s="3">
        <v>145105.83478509949</v>
      </c>
      <c r="D16" s="3">
        <v>145078.58478509949</v>
      </c>
      <c r="E16" s="3">
        <v>145078.58478509949</v>
      </c>
      <c r="F16" s="3">
        <v>177319.27967566426</v>
      </c>
      <c r="G16" s="3">
        <v>177319.27967566426</v>
      </c>
      <c r="H16" s="3">
        <v>145078.58478509949</v>
      </c>
      <c r="I16" s="3">
        <v>128962.77956225892</v>
      </c>
      <c r="J16" s="3">
        <v>128962.77956225892</v>
      </c>
      <c r="K16" s="3">
        <v>145078.58478509949</v>
      </c>
      <c r="L16" s="3">
        <v>183342.26663324225</v>
      </c>
      <c r="M16" s="3">
        <v>177319.27967566426</v>
      </c>
      <c r="N16" s="3">
        <v>145078.58478509949</v>
      </c>
      <c r="O16" s="3">
        <f t="shared" si="3"/>
        <v>1843724.4234953499</v>
      </c>
      <c r="Q16" s="3">
        <v>1744679</v>
      </c>
    </row>
    <row r="17" spans="2:17" x14ac:dyDescent="0.3">
      <c r="B17" s="3" t="s">
        <v>19</v>
      </c>
      <c r="C17" s="3">
        <v>19540.079109877101</v>
      </c>
      <c r="D17" s="3">
        <v>19536.409109877102</v>
      </c>
      <c r="E17" s="3">
        <v>19536.409109877102</v>
      </c>
      <c r="F17" s="3">
        <v>23877.969280882364</v>
      </c>
      <c r="G17" s="3">
        <v>23877.969280882364</v>
      </c>
      <c r="H17" s="3">
        <v>19536.409109877102</v>
      </c>
      <c r="I17" s="3">
        <v>17366.240684021017</v>
      </c>
      <c r="J17" s="3">
        <v>17366.240684021017</v>
      </c>
      <c r="K17" s="3">
        <v>19536.409109877102</v>
      </c>
      <c r="L17" s="3">
        <v>24689.029972169054</v>
      </c>
      <c r="M17" s="3">
        <v>23877.969280882364</v>
      </c>
      <c r="N17" s="3">
        <v>19536.409109877102</v>
      </c>
      <c r="O17" s="3">
        <f t="shared" si="3"/>
        <v>248277.54384212079</v>
      </c>
      <c r="Q17" s="3">
        <v>234940</v>
      </c>
    </row>
    <row r="18" spans="2:17" x14ac:dyDescent="0.3">
      <c r="B18" s="3" t="s">
        <v>17</v>
      </c>
      <c r="C18" s="3">
        <v>9147.8428466258301</v>
      </c>
      <c r="D18" s="3">
        <v>9146.1228466258308</v>
      </c>
      <c r="E18" s="3">
        <v>9146.1228466258308</v>
      </c>
      <c r="F18" s="3">
        <v>11178.658224376311</v>
      </c>
      <c r="G18" s="3">
        <v>11178.658224376311</v>
      </c>
      <c r="H18" s="3">
        <v>9146.1228466258308</v>
      </c>
      <c r="I18" s="3">
        <v>8130.141511001907</v>
      </c>
      <c r="J18" s="3">
        <v>8130.141511001907</v>
      </c>
      <c r="K18" s="3">
        <v>9146.1228466258308</v>
      </c>
      <c r="L18" s="3">
        <v>11558.362635604419</v>
      </c>
      <c r="M18" s="3">
        <v>11178.658224376311</v>
      </c>
      <c r="N18" s="3">
        <v>9146.1228466258308</v>
      </c>
      <c r="O18" s="3">
        <f t="shared" si="3"/>
        <v>116233.07741049216</v>
      </c>
      <c r="Q18" s="3">
        <v>109989</v>
      </c>
    </row>
    <row r="19" spans="2:17" x14ac:dyDescent="0.3">
      <c r="B19" s="3" t="s">
        <v>18</v>
      </c>
      <c r="C19" s="3">
        <v>14137.826591264022</v>
      </c>
      <c r="D19" s="3">
        <v>14135.166591264022</v>
      </c>
      <c r="E19" s="3">
        <v>14135.166591264022</v>
      </c>
      <c r="F19" s="3">
        <v>17276.413067932535</v>
      </c>
      <c r="G19" s="3">
        <v>17276.413067932535</v>
      </c>
      <c r="H19" s="3">
        <v>14135.166591264022</v>
      </c>
      <c r="I19" s="3">
        <v>12564.985906674032</v>
      </c>
      <c r="J19" s="3">
        <v>12564.985906674032</v>
      </c>
      <c r="K19" s="3">
        <v>14135.166591264022</v>
      </c>
      <c r="L19" s="3">
        <v>17863.239332804667</v>
      </c>
      <c r="M19" s="3">
        <v>17276.413067932535</v>
      </c>
      <c r="N19" s="3">
        <v>14135.166591264022</v>
      </c>
      <c r="O19" s="3">
        <f t="shared" si="3"/>
        <v>179636.10989753445</v>
      </c>
      <c r="Q19" s="3">
        <v>169986</v>
      </c>
    </row>
    <row r="20" spans="2:17" x14ac:dyDescent="0.3">
      <c r="B20" s="3" t="s">
        <v>15</v>
      </c>
      <c r="C20" s="3">
        <v>150508.6793879203</v>
      </c>
      <c r="D20" s="3">
        <v>150480.40938792031</v>
      </c>
      <c r="E20" s="3">
        <v>150480.40938792031</v>
      </c>
      <c r="F20" s="3">
        <v>183921.54732891786</v>
      </c>
      <c r="G20" s="3">
        <v>183921.54732891786</v>
      </c>
      <c r="H20" s="3">
        <v>150480.40938792031</v>
      </c>
      <c r="I20" s="3">
        <v>133764.55176398993</v>
      </c>
      <c r="J20" s="3">
        <v>133764.55176398993</v>
      </c>
      <c r="K20" s="3">
        <v>150480.40938792031</v>
      </c>
      <c r="L20" s="3">
        <v>190168.79287833493</v>
      </c>
      <c r="M20" s="3">
        <v>183921.54732891786</v>
      </c>
      <c r="N20" s="3">
        <v>150480.40938792031</v>
      </c>
      <c r="O20" s="3">
        <f t="shared" si="3"/>
        <v>1912373.2647205901</v>
      </c>
      <c r="Q20" s="3">
        <v>1809640</v>
      </c>
    </row>
    <row r="21" spans="2:17" x14ac:dyDescent="0.3">
      <c r="B21" s="3" t="s">
        <v>13</v>
      </c>
      <c r="C21" s="3">
        <v>102278.93206891704</v>
      </c>
      <c r="D21" s="3">
        <v>102259.72206891704</v>
      </c>
      <c r="E21" s="3">
        <v>102259.72206891704</v>
      </c>
      <c r="F21" s="3">
        <v>124984.81622186553</v>
      </c>
      <c r="G21" s="3">
        <v>124984.81622186553</v>
      </c>
      <c r="H21" s="3">
        <v>102259.72206891704</v>
      </c>
      <c r="I21" s="3">
        <v>90900.37661179385</v>
      </c>
      <c r="J21" s="3">
        <v>90900.37661179385</v>
      </c>
      <c r="K21" s="3">
        <v>102259.72206891704</v>
      </c>
      <c r="L21" s="3">
        <v>129230.16348120752</v>
      </c>
      <c r="M21" s="3">
        <v>124984.81622186553</v>
      </c>
      <c r="N21" s="3">
        <v>102259.72206891704</v>
      </c>
      <c r="O21" s="3">
        <f t="shared" si="3"/>
        <v>1299562.9077838941</v>
      </c>
      <c r="Q21" s="3">
        <v>1229750</v>
      </c>
    </row>
    <row r="22" spans="2:17" x14ac:dyDescent="0.3">
      <c r="B22" s="3" t="s">
        <v>14</v>
      </c>
      <c r="C22" s="3">
        <v>416601.56701893703</v>
      </c>
      <c r="D22" s="3">
        <v>416523.32701893704</v>
      </c>
      <c r="E22" s="3">
        <v>416523.32701893704</v>
      </c>
      <c r="F22" s="3">
        <v>509086.96431325207</v>
      </c>
      <c r="G22" s="3">
        <v>509086.96431325207</v>
      </c>
      <c r="H22" s="3">
        <v>416523.32701893704</v>
      </c>
      <c r="I22" s="3">
        <v>370254.54917725967</v>
      </c>
      <c r="J22" s="3">
        <v>370254.54917725967</v>
      </c>
      <c r="K22" s="3">
        <v>416523.32701893704</v>
      </c>
      <c r="L22" s="3">
        <v>526379.07237922284</v>
      </c>
      <c r="M22" s="3">
        <v>509086.96431325207</v>
      </c>
      <c r="N22" s="3">
        <v>416523.32701893704</v>
      </c>
      <c r="O22" s="3">
        <f t="shared" si="3"/>
        <v>5293367.2657871209</v>
      </c>
      <c r="Q22" s="3">
        <v>5009006</v>
      </c>
    </row>
    <row r="23" spans="2:17" x14ac:dyDescent="0.3">
      <c r="B23" s="3" t="s">
        <v>26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Q23" s="3"/>
    </row>
    <row r="24" spans="2:17" x14ac:dyDescent="0.3">
      <c r="B24" s="3" t="s">
        <v>27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Q24" s="3"/>
    </row>
    <row r="25" spans="2:17" s="8" customFormat="1" x14ac:dyDescent="0.3">
      <c r="B25" s="10"/>
      <c r="C25" s="10">
        <f>SUM(C13:C22)</f>
        <v>1245235.1652650563</v>
      </c>
      <c r="D25" s="10">
        <f t="shared" ref="D25:Q25" si="4">SUM(D13:D22)</f>
        <v>1245001.2852650564</v>
      </c>
      <c r="E25" s="10">
        <f t="shared" si="4"/>
        <v>1245001.2852650564</v>
      </c>
      <c r="F25" s="10">
        <f t="shared" si="4"/>
        <v>1521676.8996298464</v>
      </c>
      <c r="G25" s="10">
        <f t="shared" si="4"/>
        <v>1521676.8996298464</v>
      </c>
      <c r="H25" s="10">
        <f t="shared" si="4"/>
        <v>1245001.2852650564</v>
      </c>
      <c r="I25" s="10">
        <f t="shared" si="4"/>
        <v>1106702.4574591585</v>
      </c>
      <c r="J25" s="10">
        <f t="shared" si="4"/>
        <v>1106702.4574591585</v>
      </c>
      <c r="K25" s="10">
        <f t="shared" si="4"/>
        <v>1245001.2852650564</v>
      </c>
      <c r="L25" s="10">
        <f t="shared" si="4"/>
        <v>1573363.5528628288</v>
      </c>
      <c r="M25" s="10">
        <f t="shared" si="4"/>
        <v>1521676.8996298464</v>
      </c>
      <c r="N25" s="10">
        <f t="shared" si="4"/>
        <v>1245001.2852650564</v>
      </c>
      <c r="O25" s="10">
        <f t="shared" si="4"/>
        <v>15822040.758261021</v>
      </c>
      <c r="Q25" s="10">
        <f t="shared" si="4"/>
        <v>14972076</v>
      </c>
    </row>
    <row r="27" spans="2:17" x14ac:dyDescent="0.3">
      <c r="C27" s="13">
        <f>C25-C2</f>
        <v>-0.12000000011175871</v>
      </c>
      <c r="D27" s="13">
        <f t="shared" ref="D27:O27" si="5">D25-D2</f>
        <v>0</v>
      </c>
      <c r="E27" s="13">
        <f t="shared" si="5"/>
        <v>0</v>
      </c>
      <c r="F27" s="13">
        <f t="shared" si="5"/>
        <v>0</v>
      </c>
      <c r="G27" s="13">
        <f t="shared" si="5"/>
        <v>0</v>
      </c>
      <c r="H27" s="13">
        <f t="shared" si="5"/>
        <v>0</v>
      </c>
      <c r="I27" s="13">
        <f t="shared" si="5"/>
        <v>0</v>
      </c>
      <c r="J27" s="13">
        <f t="shared" si="5"/>
        <v>0</v>
      </c>
      <c r="K27" s="13">
        <f t="shared" si="5"/>
        <v>0</v>
      </c>
      <c r="L27" s="13">
        <f t="shared" si="5"/>
        <v>0</v>
      </c>
      <c r="M27" s="13">
        <f t="shared" si="5"/>
        <v>0</v>
      </c>
      <c r="N27" s="13">
        <f t="shared" si="5"/>
        <v>0</v>
      </c>
      <c r="O27" s="13">
        <f t="shared" si="5"/>
        <v>-0.12000000290572643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E97-B91E-42B9-BDA2-DEFFADCD7BC1}">
  <sheetPr codeName="Sheet4"/>
  <dimension ref="B1:R22"/>
  <sheetViews>
    <sheetView zoomScale="70" zoomScaleNormal="70" workbookViewId="0">
      <selection activeCell="R2" sqref="R2:R11"/>
    </sheetView>
  </sheetViews>
  <sheetFormatPr defaultRowHeight="14.4" x14ac:dyDescent="0.3"/>
  <cols>
    <col min="2" max="2" width="34.33203125" customWidth="1"/>
    <col min="3" max="14" width="10.21875" bestFit="1" customWidth="1"/>
    <col min="15" max="15" width="11.21875" bestFit="1" customWidth="1"/>
    <col min="16" max="16" width="1.33203125" customWidth="1"/>
    <col min="17" max="17" width="11.21875" style="1" bestFit="1" customWidth="1"/>
    <col min="18" max="18" width="10" bestFit="1" customWidth="1"/>
  </cols>
  <sheetData>
    <row r="1" spans="2:18" x14ac:dyDescent="0.3">
      <c r="B1" s="6" t="s">
        <v>20</v>
      </c>
      <c r="C1" s="7">
        <v>45839</v>
      </c>
      <c r="D1" s="7">
        <v>45870</v>
      </c>
      <c r="E1" s="7">
        <v>45901</v>
      </c>
      <c r="F1" s="7">
        <v>45931</v>
      </c>
      <c r="G1" s="7">
        <v>45962</v>
      </c>
      <c r="H1" s="7">
        <v>45992</v>
      </c>
      <c r="I1" s="7">
        <v>46023</v>
      </c>
      <c r="J1" s="7">
        <v>46054</v>
      </c>
      <c r="K1" s="7">
        <v>46082</v>
      </c>
      <c r="L1" s="7">
        <v>46113</v>
      </c>
      <c r="M1" s="7">
        <v>46143</v>
      </c>
      <c r="N1" s="7">
        <v>46174</v>
      </c>
      <c r="O1" s="6" t="s">
        <v>8</v>
      </c>
      <c r="Q1" s="9" t="s">
        <v>24</v>
      </c>
    </row>
    <row r="2" spans="2:18" x14ac:dyDescent="0.3">
      <c r="B2" s="3" t="s">
        <v>9</v>
      </c>
      <c r="C2" s="3">
        <v>804886.34133525472</v>
      </c>
      <c r="D2" s="3">
        <v>805238.34133525472</v>
      </c>
      <c r="E2" s="3">
        <v>805238.34133525472</v>
      </c>
      <c r="F2" s="3">
        <v>805238.34133525472</v>
      </c>
      <c r="G2" s="3">
        <v>805238.34133525472</v>
      </c>
      <c r="H2" s="3">
        <v>805238.34133525472</v>
      </c>
      <c r="I2" s="3">
        <v>805238.34133525472</v>
      </c>
      <c r="J2" s="3">
        <v>772845.71894660406</v>
      </c>
      <c r="K2" s="3">
        <v>805238.34133525472</v>
      </c>
      <c r="L2" s="3">
        <v>821082.55880796351</v>
      </c>
      <c r="M2" s="3">
        <v>821082.55880796351</v>
      </c>
      <c r="N2" s="3">
        <v>827420.24579704728</v>
      </c>
      <c r="O2" s="3">
        <f>SUM(C2:N2)</f>
        <v>9683985.8130416162</v>
      </c>
      <c r="Q2" s="5">
        <v>8905142</v>
      </c>
      <c r="R2" s="13">
        <f>(SUM(C2:E2))/1000</f>
        <v>2415.3630240057641</v>
      </c>
    </row>
    <row r="3" spans="2:18" x14ac:dyDescent="0.3">
      <c r="B3" s="3" t="s">
        <v>0</v>
      </c>
      <c r="C3" s="3">
        <v>99016.875382110986</v>
      </c>
      <c r="D3" s="3">
        <v>99016.875382110986</v>
      </c>
      <c r="E3" s="3">
        <v>99016.875382110986</v>
      </c>
      <c r="F3" s="3">
        <v>99016.875382110986</v>
      </c>
      <c r="G3" s="3">
        <v>99016.875382110986</v>
      </c>
      <c r="H3" s="3">
        <v>99016.875382110986</v>
      </c>
      <c r="I3" s="3">
        <v>99016.875382110986</v>
      </c>
      <c r="J3" s="3">
        <v>95033.686691619383</v>
      </c>
      <c r="K3" s="3">
        <v>99016.875382110986</v>
      </c>
      <c r="L3" s="3">
        <v>100965.17419811222</v>
      </c>
      <c r="M3" s="3">
        <v>100965.17419811222</v>
      </c>
      <c r="N3" s="3">
        <v>101744.49372451274</v>
      </c>
      <c r="O3" s="3">
        <f t="shared" ref="O3:O10" si="0">SUM(C3:N3)</f>
        <v>1190843.5318692441</v>
      </c>
      <c r="Q3" s="5">
        <v>1095029</v>
      </c>
      <c r="R3" s="13">
        <f t="shared" ref="R3:R11" si="1">(SUM(C3:E3))/1000</f>
        <v>297.05062614633295</v>
      </c>
    </row>
    <row r="4" spans="2:18" x14ac:dyDescent="0.3">
      <c r="B4" s="3" t="s">
        <v>1</v>
      </c>
      <c r="C4" s="3">
        <v>76408.168807409122</v>
      </c>
      <c r="D4" s="3">
        <v>76408.168807409122</v>
      </c>
      <c r="E4" s="3">
        <v>76408.168807409122</v>
      </c>
      <c r="F4" s="3">
        <v>76408.168807409122</v>
      </c>
      <c r="G4" s="3">
        <v>76408.168807409122</v>
      </c>
      <c r="H4" s="3">
        <v>76408.168807409122</v>
      </c>
      <c r="I4" s="3">
        <v>76408.168807409122</v>
      </c>
      <c r="J4" s="3">
        <v>73334.46896906996</v>
      </c>
      <c r="K4" s="3">
        <v>76408.168807409122</v>
      </c>
      <c r="L4" s="3">
        <v>77911.608945727145</v>
      </c>
      <c r="M4" s="3">
        <v>77911.608945727145</v>
      </c>
      <c r="N4" s="3">
        <v>78512.98500105436</v>
      </c>
      <c r="O4" s="3">
        <f t="shared" si="0"/>
        <v>918936.02232085157</v>
      </c>
      <c r="Q4" s="5">
        <v>844999</v>
      </c>
      <c r="R4" s="13">
        <f t="shared" si="1"/>
        <v>229.22450642222736</v>
      </c>
    </row>
    <row r="5" spans="2:18" x14ac:dyDescent="0.3">
      <c r="B5" s="3" t="s">
        <v>2</v>
      </c>
      <c r="C5" s="3">
        <v>612446.46842623188</v>
      </c>
      <c r="D5" s="3">
        <v>612446.46842623188</v>
      </c>
      <c r="E5" s="3">
        <v>612446.46842623188</v>
      </c>
      <c r="F5" s="3">
        <v>612446.46842623188</v>
      </c>
      <c r="G5" s="3">
        <v>612446.46842623188</v>
      </c>
      <c r="H5" s="3">
        <v>612446.46842623188</v>
      </c>
      <c r="I5" s="3">
        <v>612446.46842623188</v>
      </c>
      <c r="J5" s="3">
        <v>587809.35644756397</v>
      </c>
      <c r="K5" s="3">
        <v>612446.46842623188</v>
      </c>
      <c r="L5" s="3">
        <v>624497.22972014511</v>
      </c>
      <c r="M5" s="3">
        <v>624497.22972014511</v>
      </c>
      <c r="N5" s="3">
        <v>629317.53423771053</v>
      </c>
      <c r="O5" s="3">
        <f t="shared" si="0"/>
        <v>7365693.0975354211</v>
      </c>
      <c r="Q5" s="5">
        <v>6773054</v>
      </c>
      <c r="R5" s="13">
        <f t="shared" si="1"/>
        <v>1837.3394052786957</v>
      </c>
    </row>
    <row r="6" spans="2:18" x14ac:dyDescent="0.3">
      <c r="B6" s="3" t="s">
        <v>3</v>
      </c>
      <c r="C6" s="3">
        <v>1146151.7390551982</v>
      </c>
      <c r="D6" s="3">
        <v>1146151.7390551982</v>
      </c>
      <c r="E6" s="3">
        <v>1146151.7390551982</v>
      </c>
      <c r="F6" s="3">
        <v>1146151.7390551982</v>
      </c>
      <c r="G6" s="3">
        <v>1146151.7390551982</v>
      </c>
      <c r="H6" s="3">
        <v>1146151.7390551982</v>
      </c>
      <c r="I6" s="3">
        <v>1146151.7390551982</v>
      </c>
      <c r="J6" s="3">
        <v>1100045.0665615038</v>
      </c>
      <c r="K6" s="3">
        <v>1146151.7390551982</v>
      </c>
      <c r="L6" s="3">
        <v>1168703.9158184172</v>
      </c>
      <c r="M6" s="3">
        <v>1168703.9158184172</v>
      </c>
      <c r="N6" s="3">
        <v>1177724.7865237051</v>
      </c>
      <c r="O6" s="3">
        <f t="shared" si="0"/>
        <v>13784391.597163627</v>
      </c>
      <c r="Q6" s="5">
        <v>12675308</v>
      </c>
      <c r="R6" s="13">
        <f t="shared" si="1"/>
        <v>3438.4552171655946</v>
      </c>
    </row>
    <row r="7" spans="2:18" x14ac:dyDescent="0.3">
      <c r="B7" s="3" t="s">
        <v>4</v>
      </c>
      <c r="C7" s="3">
        <v>210417.94716605952</v>
      </c>
      <c r="D7" s="3">
        <v>210417.94716605952</v>
      </c>
      <c r="E7" s="3">
        <v>210417.94716605952</v>
      </c>
      <c r="F7" s="3">
        <v>210417.94716605952</v>
      </c>
      <c r="G7" s="3">
        <v>210417.94716605952</v>
      </c>
      <c r="H7" s="3">
        <v>210417.94716605952</v>
      </c>
      <c r="I7" s="3">
        <v>210417.94716605952</v>
      </c>
      <c r="J7" s="3">
        <v>201953.38610822058</v>
      </c>
      <c r="K7" s="3">
        <v>210417.94716605952</v>
      </c>
      <c r="L7" s="3">
        <v>214558.22159652403</v>
      </c>
      <c r="M7" s="3">
        <v>214558.22159652403</v>
      </c>
      <c r="N7" s="3">
        <v>216214.33136870986</v>
      </c>
      <c r="O7" s="3">
        <f t="shared" si="0"/>
        <v>2530627.7379984553</v>
      </c>
      <c r="Q7" s="5">
        <v>2327015</v>
      </c>
      <c r="R7" s="13">
        <f t="shared" si="1"/>
        <v>631.25384149817853</v>
      </c>
    </row>
    <row r="8" spans="2:18" x14ac:dyDescent="0.3">
      <c r="B8" s="3" t="s">
        <v>5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f t="shared" si="0"/>
        <v>0</v>
      </c>
      <c r="Q8" s="5">
        <v>0</v>
      </c>
      <c r="R8" s="13">
        <f t="shared" si="1"/>
        <v>0</v>
      </c>
    </row>
    <row r="9" spans="2:18" x14ac:dyDescent="0.3">
      <c r="B9" s="3" t="s">
        <v>6</v>
      </c>
      <c r="C9" s="3">
        <v>39786.730033523861</v>
      </c>
      <c r="D9" s="3">
        <v>39786.730033523861</v>
      </c>
      <c r="E9" s="3">
        <v>39786.730033523861</v>
      </c>
      <c r="F9" s="3">
        <v>39786.730033523861</v>
      </c>
      <c r="G9" s="3">
        <v>39786.730033523861</v>
      </c>
      <c r="H9" s="3">
        <v>39786.730033523861</v>
      </c>
      <c r="I9" s="3">
        <v>39786.730033523861</v>
      </c>
      <c r="J9" s="3">
        <v>38186.214439696043</v>
      </c>
      <c r="K9" s="3">
        <v>39786.730033523861</v>
      </c>
      <c r="L9" s="3">
        <v>40569.590921809177</v>
      </c>
      <c r="M9" s="3">
        <v>40569.590921809177</v>
      </c>
      <c r="N9" s="3">
        <v>40882.735277123305</v>
      </c>
      <c r="O9" s="3">
        <f t="shared" si="0"/>
        <v>478501.97182862862</v>
      </c>
      <c r="Q9" s="5">
        <v>440002</v>
      </c>
      <c r="R9" s="13">
        <f t="shared" si="1"/>
        <v>119.36019010057157</v>
      </c>
    </row>
    <row r="10" spans="2:18" x14ac:dyDescent="0.3">
      <c r="B10" s="3" t="s">
        <v>7</v>
      </c>
      <c r="C10" s="3">
        <v>70082.830878706387</v>
      </c>
      <c r="D10" s="3">
        <v>70082.830878706387</v>
      </c>
      <c r="E10" s="3">
        <v>70082.830878706387</v>
      </c>
      <c r="F10" s="3">
        <v>70082.830878706387</v>
      </c>
      <c r="G10" s="3">
        <v>70082.830878706387</v>
      </c>
      <c r="H10" s="3">
        <v>70082.830878706387</v>
      </c>
      <c r="I10" s="3">
        <v>70082.830878706387</v>
      </c>
      <c r="J10" s="3">
        <v>67263.582762903578</v>
      </c>
      <c r="K10" s="3">
        <v>70082.830878706387</v>
      </c>
      <c r="L10" s="3">
        <v>71461.810935349014</v>
      </c>
      <c r="M10" s="3">
        <v>71461.810935349014</v>
      </c>
      <c r="N10" s="3">
        <v>72013.402958006074</v>
      </c>
      <c r="O10" s="3">
        <f t="shared" si="0"/>
        <v>842863.2546212587</v>
      </c>
      <c r="Q10" s="5">
        <v>775047</v>
      </c>
      <c r="R10" s="13">
        <f t="shared" si="1"/>
        <v>210.24849263611915</v>
      </c>
    </row>
    <row r="11" spans="2:18" x14ac:dyDescent="0.3">
      <c r="B11" s="10" t="s">
        <v>8</v>
      </c>
      <c r="C11" s="10">
        <f t="shared" ref="C11:N11" si="2">SUM(C2:C10)</f>
        <v>3059197.1010844945</v>
      </c>
      <c r="D11" s="10">
        <f t="shared" si="2"/>
        <v>3059549.1010844945</v>
      </c>
      <c r="E11" s="10">
        <f t="shared" si="2"/>
        <v>3059549.1010844945</v>
      </c>
      <c r="F11" s="10">
        <f t="shared" si="2"/>
        <v>3059549.1010844945</v>
      </c>
      <c r="G11" s="10">
        <f t="shared" si="2"/>
        <v>3059549.1010844945</v>
      </c>
      <c r="H11" s="10">
        <f t="shared" si="2"/>
        <v>3059549.1010844945</v>
      </c>
      <c r="I11" s="10">
        <f t="shared" si="2"/>
        <v>3059549.1010844945</v>
      </c>
      <c r="J11" s="10">
        <f t="shared" si="2"/>
        <v>2936471.4809271814</v>
      </c>
      <c r="K11" s="10">
        <f t="shared" si="2"/>
        <v>3059549.1010844945</v>
      </c>
      <c r="L11" s="10">
        <f t="shared" si="2"/>
        <v>3119750.1109440476</v>
      </c>
      <c r="M11" s="10">
        <f t="shared" si="2"/>
        <v>3119750.1109440476</v>
      </c>
      <c r="N11" s="10">
        <f t="shared" si="2"/>
        <v>3143830.5148878694</v>
      </c>
      <c r="O11" s="10">
        <f>SUM(O2:O10)</f>
        <v>36795843.026379108</v>
      </c>
      <c r="Q11" s="9">
        <f>SUM(Q2:Q10)</f>
        <v>33835596</v>
      </c>
      <c r="R11" s="13">
        <f t="shared" si="1"/>
        <v>9178.2953032534824</v>
      </c>
    </row>
    <row r="12" spans="2:18" x14ac:dyDescent="0.3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2:18" x14ac:dyDescent="0.3">
      <c r="B13" s="5" t="s">
        <v>25</v>
      </c>
      <c r="C13" s="7">
        <v>45839</v>
      </c>
      <c r="D13" s="7">
        <v>45870</v>
      </c>
      <c r="E13" s="7">
        <v>45901</v>
      </c>
      <c r="F13" s="7">
        <v>45931</v>
      </c>
      <c r="G13" s="7">
        <v>45962</v>
      </c>
      <c r="H13" s="7">
        <v>45992</v>
      </c>
      <c r="I13" s="7">
        <v>46023</v>
      </c>
      <c r="J13" s="7">
        <v>46054</v>
      </c>
      <c r="K13" s="7">
        <v>46082</v>
      </c>
      <c r="L13" s="7">
        <v>46113</v>
      </c>
      <c r="M13" s="7">
        <v>46143</v>
      </c>
      <c r="N13" s="7">
        <v>46174</v>
      </c>
      <c r="O13" s="6" t="s">
        <v>8</v>
      </c>
      <c r="Q13" s="9" t="s">
        <v>24</v>
      </c>
    </row>
    <row r="14" spans="2:18" x14ac:dyDescent="0.3">
      <c r="B14" s="5" t="s">
        <v>10</v>
      </c>
      <c r="C14" s="5">
        <v>191803.55939397987</v>
      </c>
      <c r="D14" s="5">
        <v>192155.55939397987</v>
      </c>
      <c r="E14" s="5">
        <v>192155.55939397987</v>
      </c>
      <c r="F14" s="5">
        <v>192155.55939397987</v>
      </c>
      <c r="G14" s="5">
        <v>192155.55939397987</v>
      </c>
      <c r="H14" s="5">
        <v>192155.55939397987</v>
      </c>
      <c r="I14" s="5">
        <v>192155.55939397987</v>
      </c>
      <c r="J14" s="5">
        <v>184425.64620454118</v>
      </c>
      <c r="K14" s="5">
        <v>192155.55939397987</v>
      </c>
      <c r="L14" s="5">
        <v>195936.49519316165</v>
      </c>
      <c r="M14" s="5">
        <v>195936.49519316165</v>
      </c>
      <c r="N14" s="5">
        <v>197448.86951283441</v>
      </c>
      <c r="O14" s="5">
        <v>2310639.9812555378</v>
      </c>
      <c r="Q14" s="3">
        <v>2125051</v>
      </c>
    </row>
    <row r="15" spans="2:18" x14ac:dyDescent="0.3">
      <c r="B15" s="5" t="s">
        <v>11</v>
      </c>
      <c r="C15" s="5">
        <v>177234.5183616849</v>
      </c>
      <c r="D15" s="5">
        <v>177234.5183616849</v>
      </c>
      <c r="E15" s="5">
        <v>177234.5183616849</v>
      </c>
      <c r="F15" s="5">
        <v>177234.5183616849</v>
      </c>
      <c r="G15" s="5">
        <v>177234.5183616849</v>
      </c>
      <c r="H15" s="5">
        <v>177234.5183616849</v>
      </c>
      <c r="I15" s="5">
        <v>177234.5183616849</v>
      </c>
      <c r="J15" s="5">
        <v>170104.83944201935</v>
      </c>
      <c r="K15" s="5">
        <v>177234.5183616849</v>
      </c>
      <c r="L15" s="5">
        <v>180721.86131152115</v>
      </c>
      <c r="M15" s="5">
        <v>180721.86131152115</v>
      </c>
      <c r="N15" s="5">
        <v>182116.7984914557</v>
      </c>
      <c r="O15" s="5">
        <v>2131541.5074499967</v>
      </c>
      <c r="Q15" s="3">
        <v>1960039</v>
      </c>
    </row>
    <row r="16" spans="2:18" x14ac:dyDescent="0.3">
      <c r="B16" s="5" t="s">
        <v>12</v>
      </c>
      <c r="C16" s="5">
        <v>126595.5549179189</v>
      </c>
      <c r="D16" s="5">
        <v>126595.5549179189</v>
      </c>
      <c r="E16" s="5">
        <v>126595.5549179189</v>
      </c>
      <c r="F16" s="5">
        <v>126595.5549179189</v>
      </c>
      <c r="G16" s="5">
        <v>126595.5549179189</v>
      </c>
      <c r="H16" s="5">
        <v>126595.5549179189</v>
      </c>
      <c r="I16" s="5">
        <v>126595.5549179189</v>
      </c>
      <c r="J16" s="5">
        <v>121502.94842362567</v>
      </c>
      <c r="K16" s="5">
        <v>126595.5549179189</v>
      </c>
      <c r="L16" s="5">
        <v>129086.50374664918</v>
      </c>
      <c r="M16" s="5">
        <v>129086.50374664918</v>
      </c>
      <c r="N16" s="5">
        <v>130082.88327814131</v>
      </c>
      <c r="O16" s="5">
        <v>1522523.2785384166</v>
      </c>
      <c r="Q16" s="3">
        <v>1400022</v>
      </c>
    </row>
    <row r="17" spans="2:17" x14ac:dyDescent="0.3">
      <c r="B17" s="5" t="s">
        <v>15</v>
      </c>
      <c r="C17" s="5">
        <v>132018.37114793708</v>
      </c>
      <c r="D17" s="5">
        <v>132018.37114793708</v>
      </c>
      <c r="E17" s="5">
        <v>132018.37114793708</v>
      </c>
      <c r="F17" s="5">
        <v>132018.37114793708</v>
      </c>
      <c r="G17" s="5">
        <v>132018.37114793708</v>
      </c>
      <c r="H17" s="5">
        <v>132018.37114793708</v>
      </c>
      <c r="I17" s="5">
        <v>132018.37114793708</v>
      </c>
      <c r="J17" s="5">
        <v>126707.61900731167</v>
      </c>
      <c r="K17" s="5">
        <v>132018.37114793708</v>
      </c>
      <c r="L17" s="5">
        <v>134616.02165150375</v>
      </c>
      <c r="M17" s="5">
        <v>134616.02165150375</v>
      </c>
      <c r="N17" s="5">
        <v>135655.08185293042</v>
      </c>
      <c r="O17" s="5">
        <v>1587741.7133467465</v>
      </c>
      <c r="Q17" s="3">
        <v>1459993</v>
      </c>
    </row>
    <row r="18" spans="2:17" x14ac:dyDescent="0.3">
      <c r="B18" s="5" t="s">
        <v>13</v>
      </c>
      <c r="C18" s="5">
        <v>90426.688141019506</v>
      </c>
      <c r="D18" s="5">
        <v>90426.688141019506</v>
      </c>
      <c r="E18" s="5">
        <v>90426.688141019506</v>
      </c>
      <c r="F18" s="5">
        <v>90426.688141019506</v>
      </c>
      <c r="G18" s="5">
        <v>90426.688141019506</v>
      </c>
      <c r="H18" s="5">
        <v>90426.688141019506</v>
      </c>
      <c r="I18" s="5">
        <v>90426.688141019506</v>
      </c>
      <c r="J18" s="5">
        <v>86789.060109111393</v>
      </c>
      <c r="K18" s="5">
        <v>90426.688141019506</v>
      </c>
      <c r="L18" s="5">
        <v>92205.962721844058</v>
      </c>
      <c r="M18" s="5">
        <v>92205.962721844058</v>
      </c>
      <c r="N18" s="5">
        <v>92917.672554173885</v>
      </c>
      <c r="O18" s="5">
        <v>1087532.1632351296</v>
      </c>
      <c r="Q18" s="3">
        <v>1000030</v>
      </c>
    </row>
    <row r="19" spans="2:17" x14ac:dyDescent="0.3">
      <c r="B19" s="5" t="s">
        <v>14</v>
      </c>
      <c r="C19" s="5">
        <v>86807.649372714543</v>
      </c>
      <c r="D19" s="5">
        <v>86807.649372714543</v>
      </c>
      <c r="E19" s="5">
        <v>86807.649372714543</v>
      </c>
      <c r="F19" s="5">
        <v>86807.649372714543</v>
      </c>
      <c r="G19" s="5">
        <v>86807.649372714543</v>
      </c>
      <c r="H19" s="5">
        <v>86807.649372714543</v>
      </c>
      <c r="I19" s="5">
        <v>86807.649372714543</v>
      </c>
      <c r="J19" s="5">
        <v>83315.605759994913</v>
      </c>
      <c r="K19" s="5">
        <v>86807.649372714543</v>
      </c>
      <c r="L19" s="5">
        <v>88515.714183283853</v>
      </c>
      <c r="M19" s="5">
        <v>88515.714183283853</v>
      </c>
      <c r="N19" s="5">
        <v>89198.940107511589</v>
      </c>
      <c r="O19" s="5">
        <v>1044007.1692157907</v>
      </c>
      <c r="Q19" s="3">
        <v>960007</v>
      </c>
    </row>
    <row r="20" spans="2:17" s="8" customFormat="1" x14ac:dyDescent="0.3">
      <c r="B20" s="9" t="s">
        <v>8</v>
      </c>
      <c r="C20" s="9">
        <f>SUM(C14:C19)</f>
        <v>804886.34133525495</v>
      </c>
      <c r="D20" s="9">
        <f t="shared" ref="D20:Q20" si="3">SUM(D14:D19)</f>
        <v>805238.34133525495</v>
      </c>
      <c r="E20" s="9">
        <f t="shared" si="3"/>
        <v>805238.34133525495</v>
      </c>
      <c r="F20" s="9">
        <f t="shared" si="3"/>
        <v>805238.34133525495</v>
      </c>
      <c r="G20" s="9">
        <f t="shared" si="3"/>
        <v>805238.34133525495</v>
      </c>
      <c r="H20" s="9">
        <f t="shared" si="3"/>
        <v>805238.34133525495</v>
      </c>
      <c r="I20" s="9">
        <f t="shared" si="3"/>
        <v>805238.34133525495</v>
      </c>
      <c r="J20" s="9">
        <f t="shared" si="3"/>
        <v>772845.71894660417</v>
      </c>
      <c r="K20" s="9">
        <f t="shared" si="3"/>
        <v>805238.34133525495</v>
      </c>
      <c r="L20" s="9">
        <f t="shared" si="3"/>
        <v>821082.55880796374</v>
      </c>
      <c r="M20" s="9">
        <f t="shared" si="3"/>
        <v>821082.55880796374</v>
      </c>
      <c r="N20" s="9">
        <f t="shared" si="3"/>
        <v>827420.24579704728</v>
      </c>
      <c r="O20" s="9">
        <f t="shared" si="3"/>
        <v>9683985.8130416181</v>
      </c>
      <c r="Q20" s="9">
        <f t="shared" si="3"/>
        <v>8905142</v>
      </c>
    </row>
    <row r="22" spans="2:17" x14ac:dyDescent="0.3">
      <c r="C22" s="13">
        <f>C20-C2</f>
        <v>0</v>
      </c>
      <c r="D22" s="13">
        <f t="shared" ref="D22:O22" si="4">D20-D2</f>
        <v>0</v>
      </c>
      <c r="E22" s="13">
        <f t="shared" si="4"/>
        <v>0</v>
      </c>
      <c r="F22" s="13">
        <f t="shared" si="4"/>
        <v>0</v>
      </c>
      <c r="G22" s="13">
        <f t="shared" si="4"/>
        <v>0</v>
      </c>
      <c r="H22" s="13">
        <f t="shared" si="4"/>
        <v>0</v>
      </c>
      <c r="I22" s="13">
        <f t="shared" si="4"/>
        <v>0</v>
      </c>
      <c r="J22" s="13">
        <f t="shared" si="4"/>
        <v>0</v>
      </c>
      <c r="K22" s="13">
        <f t="shared" si="4"/>
        <v>0</v>
      </c>
      <c r="L22" s="13">
        <f t="shared" si="4"/>
        <v>0</v>
      </c>
      <c r="M22" s="13">
        <f t="shared" si="4"/>
        <v>0</v>
      </c>
      <c r="N22" s="13">
        <f t="shared" si="4"/>
        <v>0</v>
      </c>
      <c r="O22" s="13">
        <f t="shared" si="4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Lubes</vt:lpstr>
      <vt:lpstr>PMG</vt:lpstr>
      <vt:lpstr>HSD</vt:lpstr>
      <vt:lpstr>HOBC</vt:lpstr>
    </vt:vector>
  </TitlesOfParts>
  <Company>Pakistan State Oil Company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iejaz</dc:creator>
  <cp:lastModifiedBy>Key account2</cp:lastModifiedBy>
  <dcterms:created xsi:type="dcterms:W3CDTF">2025-08-12T15:07:36Z</dcterms:created>
  <dcterms:modified xsi:type="dcterms:W3CDTF">2026-07-24T11:23:50Z</dcterms:modified>
</cp:coreProperties>
</file>