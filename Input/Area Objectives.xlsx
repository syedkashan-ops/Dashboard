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e work\Automated_Sales_Dashboard\"/>
    </mc:Choice>
  </mc:AlternateContent>
  <xr:revisionPtr revIDLastSave="0" documentId="13_ncr:1_{95717059-4050-4598-ADB1-5636E50ED48A}" xr6:coauthVersionLast="47" xr6:coauthVersionMax="47" xr10:uidLastSave="{00000000-0000-0000-0000-000000000000}"/>
  <bookViews>
    <workbookView xWindow="-110" yWindow="-110" windowWidth="19420" windowHeight="10300" xr2:uid="{5EFDA55F-0C5D-419E-823F-9C620A73AFC2}"/>
  </bookViews>
  <sheets>
    <sheet name="Lubes" sheetId="1" r:id="rId1"/>
    <sheet name="PMG" sheetId="2" r:id="rId2"/>
    <sheet name="HSD" sheetId="3" r:id="rId3"/>
    <sheet name="HOB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2" i="1"/>
  <c r="D11" i="1"/>
  <c r="E11" i="1"/>
  <c r="F11" i="1"/>
  <c r="G11" i="1"/>
  <c r="H11" i="1"/>
  <c r="I11" i="1"/>
  <c r="J11" i="1"/>
  <c r="K11" i="1"/>
  <c r="L11" i="1"/>
  <c r="M11" i="1"/>
  <c r="N11" i="1"/>
  <c r="C11" i="1"/>
  <c r="R11" i="1" s="1"/>
  <c r="N11" i="4"/>
  <c r="C11" i="3"/>
  <c r="D11" i="3"/>
  <c r="E11" i="3"/>
  <c r="F11" i="3"/>
  <c r="G11" i="3"/>
  <c r="H11" i="3"/>
  <c r="I11" i="3"/>
  <c r="J11" i="3"/>
  <c r="K11" i="3"/>
  <c r="L11" i="3"/>
  <c r="M11" i="3"/>
  <c r="N11" i="3"/>
  <c r="O2" i="3"/>
  <c r="R2" i="3"/>
  <c r="R10" i="1"/>
  <c r="R9" i="1"/>
  <c r="R8" i="1"/>
  <c r="R7" i="1"/>
  <c r="R6" i="1"/>
  <c r="R5" i="1"/>
  <c r="R4" i="1"/>
  <c r="R3" i="1"/>
  <c r="R2" i="1"/>
  <c r="R2" i="2"/>
  <c r="R10" i="3"/>
  <c r="R9" i="3"/>
  <c r="R8" i="3"/>
  <c r="R7" i="3"/>
  <c r="R6" i="3"/>
  <c r="R5" i="3"/>
  <c r="R4" i="3"/>
  <c r="R3" i="3"/>
  <c r="R3" i="4"/>
  <c r="R4" i="4"/>
  <c r="R5" i="4"/>
  <c r="R6" i="4"/>
  <c r="R7" i="4"/>
  <c r="R8" i="4"/>
  <c r="R9" i="4"/>
  <c r="R10" i="4"/>
  <c r="R2" i="4"/>
  <c r="C14" i="1"/>
  <c r="C24" i="1" s="1"/>
  <c r="O17" i="1"/>
  <c r="O18" i="1"/>
  <c r="O19" i="1"/>
  <c r="O20" i="1"/>
  <c r="O21" i="1"/>
  <c r="O22" i="1"/>
  <c r="O23" i="1"/>
  <c r="O15" i="1"/>
  <c r="O16" i="1"/>
  <c r="N24" i="1"/>
  <c r="M24" i="1"/>
  <c r="L24" i="1"/>
  <c r="K24" i="1"/>
  <c r="J24" i="1"/>
  <c r="I24" i="1"/>
  <c r="H24" i="1"/>
  <c r="G24" i="1"/>
  <c r="F24" i="1"/>
  <c r="E24" i="1"/>
  <c r="D24" i="1"/>
  <c r="P26" i="1"/>
  <c r="O14" i="3"/>
  <c r="O15" i="3"/>
  <c r="O16" i="3"/>
  <c r="O17" i="3"/>
  <c r="O18" i="3"/>
  <c r="O19" i="3"/>
  <c r="O20" i="3"/>
  <c r="O21" i="3"/>
  <c r="O22" i="3"/>
  <c r="O13" i="3"/>
  <c r="O10" i="3"/>
  <c r="O9" i="3"/>
  <c r="O8" i="3"/>
  <c r="O6" i="3"/>
  <c r="O5" i="3"/>
  <c r="O3" i="3"/>
  <c r="O4" i="3"/>
  <c r="O7" i="3"/>
  <c r="O23" i="2"/>
  <c r="O22" i="2"/>
  <c r="O21" i="2"/>
  <c r="O20" i="2"/>
  <c r="O19" i="2"/>
  <c r="O18" i="2"/>
  <c r="O17" i="2"/>
  <c r="O16" i="2"/>
  <c r="O14" i="2"/>
  <c r="O15" i="2"/>
  <c r="O2" i="2"/>
  <c r="O11" i="1" l="1"/>
  <c r="O11" i="3"/>
  <c r="O5" i="2"/>
  <c r="R5" i="2"/>
  <c r="R6" i="2"/>
  <c r="O6" i="2"/>
  <c r="R4" i="2"/>
  <c r="O4" i="2"/>
  <c r="O7" i="2"/>
  <c r="R7" i="2"/>
  <c r="O8" i="2"/>
  <c r="R8" i="2"/>
  <c r="O3" i="2"/>
  <c r="R3" i="2"/>
  <c r="O9" i="2"/>
  <c r="R9" i="2"/>
  <c r="O10" i="2"/>
  <c r="R10" i="2"/>
  <c r="O14" i="1"/>
  <c r="O24" i="1" s="1"/>
  <c r="O26" i="1" s="1"/>
  <c r="Q11" i="4"/>
  <c r="Q20" i="4"/>
  <c r="O20" i="4"/>
  <c r="N20" i="4"/>
  <c r="N22" i="4" s="1"/>
  <c r="M20" i="4"/>
  <c r="M22" i="4" s="1"/>
  <c r="L20" i="4"/>
  <c r="L22" i="4" s="1"/>
  <c r="K20" i="4"/>
  <c r="K22" i="4" s="1"/>
  <c r="J20" i="4"/>
  <c r="J22" i="4" s="1"/>
  <c r="I20" i="4"/>
  <c r="I22" i="4" s="1"/>
  <c r="H20" i="4"/>
  <c r="H22" i="4" s="1"/>
  <c r="G20" i="4"/>
  <c r="G22" i="4" s="1"/>
  <c r="F20" i="4"/>
  <c r="F22" i="4" s="1"/>
  <c r="E20" i="4"/>
  <c r="E22" i="4" s="1"/>
  <c r="D20" i="4"/>
  <c r="D22" i="4" s="1"/>
  <c r="C20" i="4"/>
  <c r="C22" i="4" s="1"/>
  <c r="O3" i="4"/>
  <c r="O4" i="4"/>
  <c r="O5" i="4"/>
  <c r="O6" i="4"/>
  <c r="O7" i="4"/>
  <c r="O8" i="4"/>
  <c r="O9" i="4"/>
  <c r="O10" i="4"/>
  <c r="O2" i="4"/>
  <c r="M11" i="4"/>
  <c r="L11" i="4"/>
  <c r="K11" i="4"/>
  <c r="J11" i="4"/>
  <c r="I11" i="4"/>
  <c r="H11" i="4"/>
  <c r="G11" i="4"/>
  <c r="F11" i="4"/>
  <c r="E11" i="4"/>
  <c r="D11" i="4"/>
  <c r="C11" i="4"/>
  <c r="Q25" i="3"/>
  <c r="O25" i="3"/>
  <c r="O27" i="3" s="1"/>
  <c r="N25" i="3"/>
  <c r="N27" i="3" s="1"/>
  <c r="M25" i="3"/>
  <c r="M27" i="3" s="1"/>
  <c r="L25" i="3"/>
  <c r="L27" i="3" s="1"/>
  <c r="K25" i="3"/>
  <c r="K27" i="3" s="1"/>
  <c r="J25" i="3"/>
  <c r="J27" i="3" s="1"/>
  <c r="I25" i="3"/>
  <c r="I27" i="3" s="1"/>
  <c r="H25" i="3"/>
  <c r="H27" i="3" s="1"/>
  <c r="G25" i="3"/>
  <c r="G27" i="3" s="1"/>
  <c r="F25" i="3"/>
  <c r="F27" i="3" s="1"/>
  <c r="E25" i="3"/>
  <c r="E27" i="3" s="1"/>
  <c r="D25" i="3"/>
  <c r="D27" i="3" s="1"/>
  <c r="C25" i="3"/>
  <c r="C27" i="3" s="1"/>
  <c r="Q11" i="3"/>
  <c r="Q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Q11" i="2"/>
  <c r="N11" i="2"/>
  <c r="M11" i="2"/>
  <c r="L11" i="2"/>
  <c r="K11" i="2"/>
  <c r="J11" i="2"/>
  <c r="I11" i="2"/>
  <c r="H11" i="2"/>
  <c r="G11" i="2"/>
  <c r="F11" i="2"/>
  <c r="E11" i="2"/>
  <c r="D11" i="2"/>
  <c r="C11" i="2"/>
  <c r="Q24" i="1"/>
  <c r="R11" i="2" l="1"/>
  <c r="R11" i="3"/>
  <c r="R11" i="4"/>
  <c r="O22" i="4"/>
  <c r="O11" i="2"/>
  <c r="O11" i="4"/>
</calcChain>
</file>

<file path=xl/sharedStrings.xml><?xml version="1.0" encoding="utf-8"?>
<sst xmlns="http://schemas.openxmlformats.org/spreadsheetml/2006/main" count="102" uniqueCount="28">
  <si>
    <t>A01</t>
  </si>
  <si>
    <t>A02</t>
  </si>
  <si>
    <t>A03</t>
  </si>
  <si>
    <t>A04</t>
  </si>
  <si>
    <t>A05</t>
  </si>
  <si>
    <t>A06</t>
  </si>
  <si>
    <t>A07</t>
  </si>
  <si>
    <t>A08</t>
  </si>
  <si>
    <t>Total</t>
  </si>
  <si>
    <t>CoRos</t>
  </si>
  <si>
    <t>PSO S/S -03 (CLIFF PETROLEUM SERVIC</t>
  </si>
  <si>
    <t>PSO S/S 25 (ITTEHAD)</t>
  </si>
  <si>
    <t>PSO S/S 7 (A.B GHAZI)</t>
  </si>
  <si>
    <t>PSO S/S 23 (DEFENCE)</t>
  </si>
  <si>
    <t>PSO S/S 28 BHITTAI</t>
  </si>
  <si>
    <t>PSO SEVICE STATION (70) COCO</t>
  </si>
  <si>
    <t>PSO S/S 76 (SHEERIN)</t>
  </si>
  <si>
    <t>PSO S/S 87(SINDH)</t>
  </si>
  <si>
    <t>PSO S/S 85 (EASTERN</t>
  </si>
  <si>
    <t>PSO S/S 86 (JINNAH)</t>
  </si>
  <si>
    <t>Sales Area</t>
  </si>
  <si>
    <t xml:space="preserve">FY25 </t>
  </si>
  <si>
    <t>CoRos wise-targets</t>
  </si>
  <si>
    <t>FY-25</t>
  </si>
  <si>
    <t>FY25</t>
  </si>
  <si>
    <t>CoRo wise target</t>
  </si>
  <si>
    <t>PSO S/S 91 (GULBERG)</t>
  </si>
  <si>
    <t>PSO S/S 93 (WALL STREET)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</si>
</sst>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0" xfId="0" applyFont="1"/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/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B4DD-BD57-4378-93D6-88AB7C279CC6}">
  <sheetPr codeName="Sheet1"/>
  <dimension ref="B1:R26"/>
  <sheetViews>
    <sheetView tabSelected="1" zoomScale="70" zoomScaleNormal="70" workbookViewId="0">
      <selection activeCell="O12" sqref="O12"/>
    </sheetView>
  </sheetViews>
  <sheetFormatPr defaultRowHeight="14.5" x14ac:dyDescent="0.35"/>
  <cols>
    <col min="2" max="2" width="33" bestFit="1" customWidth="1"/>
    <col min="3" max="3" width="7.6328125" bestFit="1" customWidth="1"/>
    <col min="4" max="14" width="8.6328125" bestFit="1" customWidth="1"/>
    <col min="15" max="15" width="10.1796875" style="8" bestFit="1" customWidth="1"/>
    <col min="16" max="16" width="0.54296875" customWidth="1"/>
    <col min="17" max="17" width="10.1796875" bestFit="1" customWidth="1"/>
  </cols>
  <sheetData>
    <row r="1" spans="2:18" s="8" customFormat="1" x14ac:dyDescent="0.35">
      <c r="B1" s="6" t="s">
        <v>20</v>
      </c>
      <c r="C1" s="7">
        <v>45839</v>
      </c>
      <c r="D1" s="7">
        <v>45870</v>
      </c>
      <c r="E1" s="7">
        <v>45901</v>
      </c>
      <c r="F1" s="7">
        <v>45931</v>
      </c>
      <c r="G1" s="7">
        <v>45962</v>
      </c>
      <c r="H1" s="7">
        <v>45992</v>
      </c>
      <c r="I1" s="7">
        <v>46023</v>
      </c>
      <c r="J1" s="7">
        <v>46054</v>
      </c>
      <c r="K1" s="7">
        <v>46082</v>
      </c>
      <c r="L1" s="7">
        <v>46113</v>
      </c>
      <c r="M1" s="7">
        <v>46143</v>
      </c>
      <c r="N1" s="7">
        <v>46174</v>
      </c>
      <c r="O1" s="6" t="s">
        <v>8</v>
      </c>
      <c r="Q1" s="6" t="s">
        <v>21</v>
      </c>
    </row>
    <row r="2" spans="2:18" x14ac:dyDescent="0.35">
      <c r="B2" s="4" t="s">
        <v>9</v>
      </c>
      <c r="C2" s="5">
        <v>9554.8922799993015</v>
      </c>
      <c r="D2" s="5">
        <v>13233.460703317915</v>
      </c>
      <c r="E2" s="5">
        <v>15075.091320134483</v>
      </c>
      <c r="F2" s="5">
        <v>15929.281941260313</v>
      </c>
      <c r="G2" s="5">
        <v>14120.500996645507</v>
      </c>
      <c r="H2" s="5">
        <v>15457.070657356568</v>
      </c>
      <c r="I2" s="5">
        <v>12418.586138559653</v>
      </c>
      <c r="J2" s="5">
        <v>13050.143669411265</v>
      </c>
      <c r="K2" s="5">
        <v>16186.317957854486</v>
      </c>
      <c r="L2" s="5">
        <v>13752.489930500489</v>
      </c>
      <c r="M2" s="5">
        <v>16130.136425919873</v>
      </c>
      <c r="N2" s="5">
        <v>18865.934679429083</v>
      </c>
      <c r="O2" s="9">
        <f>SUM(C2:N2)</f>
        <v>173773.90670038891</v>
      </c>
      <c r="Q2" s="5"/>
      <c r="R2" s="13">
        <f>(SUM(C2:E2))/1000</f>
        <v>37.863444303451693</v>
      </c>
    </row>
    <row r="3" spans="2:18" x14ac:dyDescent="0.35">
      <c r="B3" s="4" t="s">
        <v>0</v>
      </c>
      <c r="C3" s="5">
        <v>8437.7334599946571</v>
      </c>
      <c r="D3" s="5">
        <v>11686.203349632964</v>
      </c>
      <c r="E3" s="5">
        <v>13312.510357718344</v>
      </c>
      <c r="F3" s="5">
        <v>14066.828938595905</v>
      </c>
      <c r="G3" s="5">
        <v>12469.530816237775</v>
      </c>
      <c r="H3" s="5">
        <v>13649.828638265784</v>
      </c>
      <c r="I3" s="5">
        <v>10966.603988460483</v>
      </c>
      <c r="J3" s="5">
        <v>11524.319758959851</v>
      </c>
      <c r="K3" s="5">
        <v>14293.812282215615</v>
      </c>
      <c r="L3" s="5">
        <v>12144.547635322169</v>
      </c>
      <c r="M3" s="5">
        <v>14244.1994997847</v>
      </c>
      <c r="N3" s="5">
        <v>16660.127988246037</v>
      </c>
      <c r="O3" s="9">
        <f t="shared" ref="O3:O10" si="0">SUM(C3:N3)</f>
        <v>153456.24671343429</v>
      </c>
      <c r="Q3" s="5"/>
      <c r="R3" s="13">
        <f t="shared" ref="R3:R11" si="1">(SUM(C3:E3))/1000</f>
        <v>33.43644716734596</v>
      </c>
    </row>
    <row r="4" spans="2:18" x14ac:dyDescent="0.35">
      <c r="B4" s="4" t="s">
        <v>1</v>
      </c>
      <c r="C4" s="5">
        <v>11311.254991799091</v>
      </c>
      <c r="D4" s="5">
        <v>15666.011091774737</v>
      </c>
      <c r="E4" s="5">
        <v>17846.166858796943</v>
      </c>
      <c r="F4" s="5">
        <v>18857.373227641347</v>
      </c>
      <c r="G4" s="5">
        <v>16716.105499100635</v>
      </c>
      <c r="H4" s="5">
        <v>18298.360934701035</v>
      </c>
      <c r="I4" s="5">
        <v>14701.347784412712</v>
      </c>
      <c r="J4" s="5">
        <v>15448.997058115894</v>
      </c>
      <c r="K4" s="5">
        <v>19161.657131695283</v>
      </c>
      <c r="L4" s="5">
        <v>16280.447316152449</v>
      </c>
      <c r="M4" s="5">
        <v>19095.148413970383</v>
      </c>
      <c r="N4" s="5">
        <v>22333.836066822034</v>
      </c>
      <c r="O4" s="9">
        <f t="shared" si="0"/>
        <v>205716.70637498252</v>
      </c>
      <c r="Q4" s="5"/>
      <c r="R4" s="13">
        <f t="shared" si="1"/>
        <v>44.823432942370765</v>
      </c>
    </row>
    <row r="5" spans="2:18" x14ac:dyDescent="0.35">
      <c r="B5" s="4" t="s">
        <v>2</v>
      </c>
      <c r="C5" s="5">
        <v>10711.977512674235</v>
      </c>
      <c r="D5" s="5">
        <v>14836.015866503312</v>
      </c>
      <c r="E5" s="5">
        <v>16900.665595238184</v>
      </c>
      <c r="F5" s="5">
        <v>17858.297607918266</v>
      </c>
      <c r="G5" s="5">
        <v>15830.47560466813</v>
      </c>
      <c r="H5" s="5">
        <v>17328.902141577299</v>
      </c>
      <c r="I5" s="5">
        <v>13922.461034324573</v>
      </c>
      <c r="J5" s="5">
        <v>14630.499374286164</v>
      </c>
      <c r="K5" s="5">
        <v>18146.460357326505</v>
      </c>
      <c r="L5" s="5">
        <v>15417.898869165572</v>
      </c>
      <c r="M5" s="5">
        <v>18083.475313740935</v>
      </c>
      <c r="N5" s="5">
        <v>21150.575236170022</v>
      </c>
      <c r="O5" s="9">
        <f t="shared" si="0"/>
        <v>194817.7045135932</v>
      </c>
      <c r="Q5" s="5"/>
      <c r="R5" s="13">
        <f t="shared" si="1"/>
        <v>42.448658974415729</v>
      </c>
    </row>
    <row r="6" spans="2:18" x14ac:dyDescent="0.35">
      <c r="B6" s="4" t="s">
        <v>3</v>
      </c>
      <c r="C6" s="5">
        <v>14876.761716732241</v>
      </c>
      <c r="D6" s="5">
        <v>20604.213611397703</v>
      </c>
      <c r="E6" s="5">
        <v>23471.592861079909</v>
      </c>
      <c r="F6" s="5">
        <v>24801.549281180691</v>
      </c>
      <c r="G6" s="5">
        <v>21985.31626439128</v>
      </c>
      <c r="H6" s="5">
        <v>24066.32647126025</v>
      </c>
      <c r="I6" s="5">
        <v>19335.471445218573</v>
      </c>
      <c r="J6" s="5">
        <v>20318.792933473793</v>
      </c>
      <c r="K6" s="5">
        <v>25201.748829164484</v>
      </c>
      <c r="L6" s="5">
        <v>21412.330951765605</v>
      </c>
      <c r="M6" s="5">
        <v>25114.2753926275</v>
      </c>
      <c r="N6" s="5">
        <v>29373.854415585542</v>
      </c>
      <c r="O6" s="9">
        <f t="shared" si="0"/>
        <v>270562.23417387757</v>
      </c>
      <c r="Q6" s="5"/>
      <c r="R6" s="13">
        <f t="shared" si="1"/>
        <v>58.952568189209849</v>
      </c>
    </row>
    <row r="7" spans="2:18" x14ac:dyDescent="0.35">
      <c r="B7" s="4" t="s">
        <v>4</v>
      </c>
      <c r="C7" s="5">
        <v>10838.825729008413</v>
      </c>
      <c r="D7" s="5">
        <v>15011.69978181632</v>
      </c>
      <c r="E7" s="5">
        <v>17100.798510293302</v>
      </c>
      <c r="F7" s="5">
        <v>18069.770531162278</v>
      </c>
      <c r="G7" s="5">
        <v>16017.935631707764</v>
      </c>
      <c r="H7" s="5">
        <v>17534.106113027741</v>
      </c>
      <c r="I7" s="5">
        <v>14087.326890987977</v>
      </c>
      <c r="J7" s="5">
        <v>14803.74962126537</v>
      </c>
      <c r="K7" s="5">
        <v>18361.345622571156</v>
      </c>
      <c r="L7" s="5">
        <v>15600.473278872874</v>
      </c>
      <c r="M7" s="5">
        <v>18297.614727864715</v>
      </c>
      <c r="N7" s="5">
        <v>21401.034382483165</v>
      </c>
      <c r="O7" s="9">
        <f t="shared" si="0"/>
        <v>197124.68082106108</v>
      </c>
      <c r="Q7" s="5"/>
      <c r="R7" s="13">
        <f t="shared" si="1"/>
        <v>42.95132402111804</v>
      </c>
    </row>
    <row r="8" spans="2:18" x14ac:dyDescent="0.35">
      <c r="B8" s="4" t="s">
        <v>5</v>
      </c>
      <c r="C8" s="5">
        <v>7755.0444575376941</v>
      </c>
      <c r="D8" s="5">
        <v>10740.683732890389</v>
      </c>
      <c r="E8" s="5">
        <v>12235.407785161557</v>
      </c>
      <c r="F8" s="5">
        <v>12928.695165900404</v>
      </c>
      <c r="G8" s="5">
        <v>11460.632917956793</v>
      </c>
      <c r="H8" s="5">
        <v>12545.433963920137</v>
      </c>
      <c r="I8" s="5">
        <v>10079.306472756854</v>
      </c>
      <c r="J8" s="5">
        <v>10591.897989827034</v>
      </c>
      <c r="K8" s="5">
        <v>13137.313502712921</v>
      </c>
      <c r="L8" s="5">
        <v>11161.943817631251</v>
      </c>
      <c r="M8" s="5">
        <v>13091.714843400192</v>
      </c>
      <c r="N8" s="5">
        <v>15312.172851830976</v>
      </c>
      <c r="O8" s="9">
        <f t="shared" si="0"/>
        <v>141040.2475015262</v>
      </c>
      <c r="Q8" s="5"/>
      <c r="R8" s="13">
        <f t="shared" si="1"/>
        <v>30.731135975589641</v>
      </c>
    </row>
    <row r="9" spans="2:18" x14ac:dyDescent="0.35">
      <c r="B9" s="4" t="s">
        <v>6</v>
      </c>
      <c r="C9" s="5">
        <v>9340.0752281091627</v>
      </c>
      <c r="D9" s="5">
        <v>12935.940550156021</v>
      </c>
      <c r="E9" s="5">
        <v>14736.166863482611</v>
      </c>
      <c r="F9" s="5">
        <v>15571.153216720821</v>
      </c>
      <c r="G9" s="5">
        <v>13803.038035638543</v>
      </c>
      <c r="H9" s="5">
        <v>15109.558382788971</v>
      </c>
      <c r="I9" s="5">
        <v>12139.386333396664</v>
      </c>
      <c r="J9" s="5">
        <v>12756.744925850977</v>
      </c>
      <c r="K9" s="5">
        <v>15822.410442963801</v>
      </c>
      <c r="L9" s="5">
        <v>13443.300746944444</v>
      </c>
      <c r="M9" s="5">
        <v>15767.492007535899</v>
      </c>
      <c r="N9" s="5">
        <v>18441.782909819893</v>
      </c>
      <c r="O9" s="9">
        <f t="shared" si="0"/>
        <v>169867.04964340778</v>
      </c>
      <c r="Q9" s="5"/>
      <c r="R9" s="13">
        <f t="shared" si="1"/>
        <v>37.012182641747792</v>
      </c>
    </row>
    <row r="10" spans="2:18" x14ac:dyDescent="0.35">
      <c r="B10" s="4" t="s">
        <v>7</v>
      </c>
      <c r="C10" s="5">
        <v>12386.108881598291</v>
      </c>
      <c r="D10" s="5">
        <v>17154.676405379625</v>
      </c>
      <c r="E10" s="5">
        <v>19542.001837328578</v>
      </c>
      <c r="F10" s="5">
        <v>20649.298259816911</v>
      </c>
      <c r="G10" s="5">
        <v>18304.55620868404</v>
      </c>
      <c r="H10" s="5">
        <v>20037.165730620931</v>
      </c>
      <c r="I10" s="5">
        <v>16098.345806544075</v>
      </c>
      <c r="J10" s="5">
        <v>16917.040577022643</v>
      </c>
      <c r="K10" s="5">
        <v>20982.4967925405</v>
      </c>
      <c r="L10" s="5">
        <v>17827.49953433024</v>
      </c>
      <c r="M10" s="5">
        <v>20909.668072834917</v>
      </c>
      <c r="N10" s="5">
        <v>24456.112559392124</v>
      </c>
      <c r="O10" s="9">
        <f t="shared" si="0"/>
        <v>225264.97066609288</v>
      </c>
      <c r="Q10" s="5"/>
      <c r="R10" s="13">
        <f t="shared" si="1"/>
        <v>49.082787124306492</v>
      </c>
    </row>
    <row r="11" spans="2:18" s="8" customFormat="1" x14ac:dyDescent="0.35">
      <c r="B11" s="6" t="s">
        <v>8</v>
      </c>
      <c r="C11" s="9">
        <f>SUM(C2:C10)</f>
        <v>95212.67425745308</v>
      </c>
      <c r="D11" s="9">
        <f t="shared" ref="D11:N11" si="2">SUM(D2:D10)</f>
        <v>131868.90509286901</v>
      </c>
      <c r="E11" s="9">
        <f t="shared" si="2"/>
        <v>150220.40198923391</v>
      </c>
      <c r="F11" s="9">
        <f t="shared" si="2"/>
        <v>158732.24817019695</v>
      </c>
      <c r="G11" s="9">
        <f t="shared" si="2"/>
        <v>140708.09197503046</v>
      </c>
      <c r="H11" s="9">
        <f t="shared" si="2"/>
        <v>154026.75303351873</v>
      </c>
      <c r="I11" s="9">
        <f t="shared" si="2"/>
        <v>123748.83589466158</v>
      </c>
      <c r="J11" s="9">
        <f t="shared" si="2"/>
        <v>130042.185908213</v>
      </c>
      <c r="K11" s="9">
        <f t="shared" si="2"/>
        <v>161293.56291904475</v>
      </c>
      <c r="L11" s="9">
        <f t="shared" si="2"/>
        <v>137040.93208068507</v>
      </c>
      <c r="M11" s="9">
        <f t="shared" si="2"/>
        <v>160733.72469767911</v>
      </c>
      <c r="N11" s="9">
        <f t="shared" si="2"/>
        <v>187995.43108977887</v>
      </c>
      <c r="O11" s="9">
        <f>SUM(O2:O10)</f>
        <v>1731623.7471083645</v>
      </c>
      <c r="Q11" s="9"/>
      <c r="R11" s="13">
        <f t="shared" si="1"/>
        <v>377.30198133955599</v>
      </c>
    </row>
    <row r="13" spans="2:18" x14ac:dyDescent="0.35">
      <c r="B13" s="12" t="s">
        <v>22</v>
      </c>
      <c r="C13" s="7">
        <v>45839</v>
      </c>
      <c r="D13" s="7">
        <v>45870</v>
      </c>
      <c r="E13" s="7">
        <v>45901</v>
      </c>
      <c r="F13" s="7">
        <v>45931</v>
      </c>
      <c r="G13" s="7">
        <v>45962</v>
      </c>
      <c r="H13" s="7">
        <v>45992</v>
      </c>
      <c r="I13" s="7">
        <v>46023</v>
      </c>
      <c r="J13" s="7">
        <v>46054</v>
      </c>
      <c r="K13" s="7">
        <v>46082</v>
      </c>
      <c r="L13" s="7">
        <v>46113</v>
      </c>
      <c r="M13" s="7">
        <v>46143</v>
      </c>
      <c r="N13" s="7">
        <v>46174</v>
      </c>
      <c r="O13" s="6" t="s">
        <v>8</v>
      </c>
      <c r="P13" s="8"/>
      <c r="Q13" s="6" t="s">
        <v>21</v>
      </c>
    </row>
    <row r="14" spans="2:18" x14ac:dyDescent="0.35">
      <c r="B14" s="4" t="s">
        <v>10</v>
      </c>
      <c r="C14" s="5">
        <f>1788.349085</f>
        <v>1788.3490850000001</v>
      </c>
      <c r="D14" s="5">
        <v>2411.7027549999998</v>
      </c>
      <c r="E14" s="5">
        <v>2737.1809149999999</v>
      </c>
      <c r="F14" s="5">
        <v>2904.4405250000004</v>
      </c>
      <c r="G14" s="5">
        <v>2863.7557549999997</v>
      </c>
      <c r="H14" s="5">
        <v>2463.6888500000014</v>
      </c>
      <c r="I14" s="5">
        <v>2187.9365199999988</v>
      </c>
      <c r="J14" s="5">
        <v>2459.1683199999993</v>
      </c>
      <c r="K14" s="5">
        <v>2897.6597300000008</v>
      </c>
      <c r="L14" s="5">
        <v>3006.15245</v>
      </c>
      <c r="M14" s="5">
        <v>2942.8650299999999</v>
      </c>
      <c r="N14" s="5">
        <v>2981.2895349999994</v>
      </c>
      <c r="O14" s="9">
        <f>SUM(C14:N14)</f>
        <v>31644.189470000005</v>
      </c>
      <c r="Q14" s="3">
        <v>31681.200000000001</v>
      </c>
    </row>
    <row r="15" spans="2:18" x14ac:dyDescent="0.35">
      <c r="B15" s="4" t="s">
        <v>11</v>
      </c>
      <c r="C15" s="5">
        <v>1202.3589000000009</v>
      </c>
      <c r="D15" s="5">
        <v>1621.9467</v>
      </c>
      <c r="E15" s="5">
        <v>1840.8411000000001</v>
      </c>
      <c r="F15" s="5">
        <v>1953.3285000000005</v>
      </c>
      <c r="G15" s="5">
        <v>1925.9667000000002</v>
      </c>
      <c r="H15" s="5">
        <v>1656.909000000001</v>
      </c>
      <c r="I15" s="5">
        <v>1471.4567999999992</v>
      </c>
      <c r="J15" s="5">
        <v>1653.8687999999997</v>
      </c>
      <c r="K15" s="5">
        <v>1948.7682000000007</v>
      </c>
      <c r="L15" s="5">
        <v>2021.7330000000002</v>
      </c>
      <c r="M15" s="5">
        <v>1979.1702</v>
      </c>
      <c r="N15" s="5">
        <v>2005.0118999999997</v>
      </c>
      <c r="O15" s="9">
        <f t="shared" ref="O15:O23" si="3">SUM(C15:N15)</f>
        <v>21281.359800000006</v>
      </c>
      <c r="Q15" s="3">
        <v>21281.4</v>
      </c>
    </row>
    <row r="16" spans="2:18" x14ac:dyDescent="0.35">
      <c r="B16" s="4" t="s">
        <v>12</v>
      </c>
      <c r="C16" s="5">
        <v>1383.2114500000009</v>
      </c>
      <c r="D16" s="5">
        <v>1865.1693499999999</v>
      </c>
      <c r="E16" s="5">
        <v>2116.8885500000001</v>
      </c>
      <c r="F16" s="5">
        <v>2246.2442500000006</v>
      </c>
      <c r="G16" s="5">
        <v>2214.7793499999998</v>
      </c>
      <c r="H16" s="5">
        <v>1905.3745000000013</v>
      </c>
      <c r="I16" s="5">
        <v>1692.1123999999991</v>
      </c>
      <c r="J16" s="5">
        <v>1901.8783999999996</v>
      </c>
      <c r="K16" s="5">
        <v>2241.0001000000007</v>
      </c>
      <c r="L16" s="5">
        <v>2324.9065000000001</v>
      </c>
      <c r="M16" s="5">
        <v>2275.9611</v>
      </c>
      <c r="N16" s="5">
        <v>2305.6779499999998</v>
      </c>
      <c r="O16" s="9">
        <f t="shared" si="3"/>
        <v>24473.203900000004</v>
      </c>
      <c r="Q16" s="3">
        <v>24472.7</v>
      </c>
    </row>
    <row r="17" spans="2:17" x14ac:dyDescent="0.35">
      <c r="B17" s="4" t="s">
        <v>13</v>
      </c>
      <c r="C17" s="5">
        <v>1659.1723142857156</v>
      </c>
      <c r="D17" s="5">
        <v>2237.0112285714285</v>
      </c>
      <c r="E17" s="5">
        <v>2538.9133999999999</v>
      </c>
      <c r="F17" s="5">
        <v>2694.0575714285724</v>
      </c>
      <c r="G17" s="5">
        <v>2656.3198000000002</v>
      </c>
      <c r="H17" s="5">
        <v>2285.231714285716</v>
      </c>
      <c r="I17" s="5">
        <v>2029.4534857142846</v>
      </c>
      <c r="J17" s="5">
        <v>2281.038628571428</v>
      </c>
      <c r="K17" s="5">
        <v>2687.7679428571437</v>
      </c>
      <c r="L17" s="5">
        <v>2788.402</v>
      </c>
      <c r="M17" s="5">
        <v>2729.6988000000001</v>
      </c>
      <c r="N17" s="5">
        <v>2765.3400285714283</v>
      </c>
      <c r="O17" s="9">
        <f t="shared" si="3"/>
        <v>29352.406914285715</v>
      </c>
      <c r="Q17" s="3">
        <v>29351.600000000002</v>
      </c>
    </row>
    <row r="18" spans="2:17" x14ac:dyDescent="0.35">
      <c r="B18" s="4" t="s">
        <v>14</v>
      </c>
      <c r="C18" s="5">
        <v>1648.6592285714296</v>
      </c>
      <c r="D18" s="5">
        <v>2224.1462571428569</v>
      </c>
      <c r="E18" s="5">
        <v>2524.3121999999998</v>
      </c>
      <c r="F18" s="5">
        <v>2678.5641428571435</v>
      </c>
      <c r="G18" s="5">
        <v>2641.0434</v>
      </c>
      <c r="H18" s="5">
        <v>2272.0894285714298</v>
      </c>
      <c r="I18" s="5">
        <v>2017.7821714285701</v>
      </c>
      <c r="J18" s="5">
        <v>2267.9204571428563</v>
      </c>
      <c r="K18" s="5">
        <v>2672.3106857142861</v>
      </c>
      <c r="L18" s="5">
        <v>2772.366</v>
      </c>
      <c r="M18" s="5">
        <v>2714.0003999999999</v>
      </c>
      <c r="N18" s="5">
        <v>2749.4366571428563</v>
      </c>
      <c r="O18" s="9">
        <f t="shared" si="3"/>
        <v>29182.631028571428</v>
      </c>
      <c r="Q18" s="3">
        <v>29182.799999999999</v>
      </c>
    </row>
    <row r="19" spans="2:17" x14ac:dyDescent="0.35">
      <c r="B19" s="4" t="s">
        <v>15</v>
      </c>
      <c r="C19" s="5">
        <v>920.80740714285787</v>
      </c>
      <c r="D19" s="5">
        <v>1242.5443642857142</v>
      </c>
      <c r="E19" s="5">
        <v>1410.2354499999999</v>
      </c>
      <c r="F19" s="5">
        <v>1496.4100357142861</v>
      </c>
      <c r="G19" s="5">
        <v>1475.44865</v>
      </c>
      <c r="H19" s="5">
        <v>1269.3283571428581</v>
      </c>
      <c r="I19" s="5">
        <v>1127.2567428571424</v>
      </c>
      <c r="J19" s="5">
        <v>1266.999314285714</v>
      </c>
      <c r="K19" s="5">
        <v>1492.9164714285719</v>
      </c>
      <c r="L19" s="5">
        <v>1548.8135000000002</v>
      </c>
      <c r="M19" s="5">
        <v>1516.2069000000001</v>
      </c>
      <c r="N19" s="5">
        <v>1536.0037642857142</v>
      </c>
      <c r="O19" s="9">
        <f t="shared" si="3"/>
        <v>16302.970957142861</v>
      </c>
      <c r="Q19" s="3">
        <v>16303.300000000001</v>
      </c>
    </row>
    <row r="20" spans="2:17" x14ac:dyDescent="0.35">
      <c r="B20" s="4" t="s">
        <v>16</v>
      </c>
      <c r="C20" s="5">
        <v>350.39174285714313</v>
      </c>
      <c r="D20" s="5">
        <v>472.49808571428571</v>
      </c>
      <c r="E20" s="5">
        <v>536.2654</v>
      </c>
      <c r="F20" s="5">
        <v>569.03471428571447</v>
      </c>
      <c r="G20" s="5">
        <v>561.06380000000001</v>
      </c>
      <c r="H20" s="5">
        <v>482.68314285714314</v>
      </c>
      <c r="I20" s="5">
        <v>428.65805714285693</v>
      </c>
      <c r="J20" s="5">
        <v>481.79748571428564</v>
      </c>
      <c r="K20" s="5">
        <v>567.70622857142871</v>
      </c>
      <c r="L20" s="5">
        <v>588.96199999999999</v>
      </c>
      <c r="M20" s="5">
        <v>576.56280000000004</v>
      </c>
      <c r="N20" s="5">
        <v>584.0908857142856</v>
      </c>
      <c r="O20" s="9">
        <f t="shared" si="3"/>
        <v>6199.7143428571435</v>
      </c>
      <c r="Q20" s="3">
        <v>6199.6</v>
      </c>
    </row>
    <row r="21" spans="2:17" x14ac:dyDescent="0.35">
      <c r="B21" s="4" t="s">
        <v>17</v>
      </c>
      <c r="C21" s="5">
        <v>143.14714285714297</v>
      </c>
      <c r="D21" s="5">
        <v>193.5842857142857</v>
      </c>
      <c r="E21" s="5">
        <v>219.70999999999998</v>
      </c>
      <c r="F21" s="5">
        <v>233.13571428571433</v>
      </c>
      <c r="G21" s="5">
        <v>229.87</v>
      </c>
      <c r="H21" s="5">
        <v>197.75714285714298</v>
      </c>
      <c r="I21" s="5">
        <v>175.62285714285704</v>
      </c>
      <c r="J21" s="5">
        <v>197.39428571428567</v>
      </c>
      <c r="K21" s="5">
        <v>232.59142857142862</v>
      </c>
      <c r="L21" s="5">
        <v>241.3</v>
      </c>
      <c r="M21" s="5">
        <v>236.22</v>
      </c>
      <c r="N21" s="5">
        <v>239.30428571428567</v>
      </c>
      <c r="O21" s="9">
        <f t="shared" si="3"/>
        <v>2539.6371428571429</v>
      </c>
      <c r="Q21" s="3">
        <v>2540</v>
      </c>
    </row>
    <row r="22" spans="2:17" x14ac:dyDescent="0.35">
      <c r="B22" s="4" t="s">
        <v>18</v>
      </c>
      <c r="C22" s="5">
        <v>121.31122857142867</v>
      </c>
      <c r="D22" s="5">
        <v>162.70225714285715</v>
      </c>
      <c r="E22" s="5">
        <v>184.6602</v>
      </c>
      <c r="F22" s="5">
        <v>195.94414285714291</v>
      </c>
      <c r="G22" s="5">
        <v>193.1994</v>
      </c>
      <c r="H22" s="5">
        <v>166.20942857142867</v>
      </c>
      <c r="I22" s="5">
        <v>147.60617142857134</v>
      </c>
      <c r="J22" s="5">
        <v>165.90445714285713</v>
      </c>
      <c r="K22" s="5">
        <v>195.48668571428578</v>
      </c>
      <c r="L22" s="5">
        <v>202.80600000000001</v>
      </c>
      <c r="M22" s="5">
        <v>198.53640000000001</v>
      </c>
      <c r="N22" s="5">
        <v>201.12865714285712</v>
      </c>
      <c r="O22" s="9">
        <f t="shared" si="3"/>
        <v>2135.495028571429</v>
      </c>
      <c r="Q22" s="3">
        <v>2134.8000000000002</v>
      </c>
    </row>
    <row r="23" spans="2:17" x14ac:dyDescent="0.35">
      <c r="B23" s="4" t="s">
        <v>19</v>
      </c>
      <c r="C23" s="5">
        <v>239.08142857142875</v>
      </c>
      <c r="D23" s="5">
        <v>324.67285714285708</v>
      </c>
      <c r="E23" s="5">
        <v>368.48999999999995</v>
      </c>
      <c r="F23" s="5">
        <v>391.00714285714292</v>
      </c>
      <c r="G23" s="5">
        <v>385.53</v>
      </c>
      <c r="H23" s="5">
        <v>331.67142857142875</v>
      </c>
      <c r="I23" s="5">
        <v>294.54857142857128</v>
      </c>
      <c r="J23" s="5">
        <v>331.06285714285707</v>
      </c>
      <c r="K23" s="5">
        <v>390.09428571428583</v>
      </c>
      <c r="L23" s="5">
        <v>404.7</v>
      </c>
      <c r="M23" s="5">
        <v>396.18</v>
      </c>
      <c r="N23" s="5">
        <v>401.35285714285703</v>
      </c>
      <c r="O23" s="9">
        <f t="shared" si="3"/>
        <v>4258.3914285714282</v>
      </c>
      <c r="Q23" s="3">
        <v>4260</v>
      </c>
    </row>
    <row r="24" spans="2:17" s="8" customFormat="1" x14ac:dyDescent="0.35">
      <c r="B24" s="6" t="s">
        <v>8</v>
      </c>
      <c r="C24" s="9">
        <f>SUM(C14:C23)</f>
        <v>9456.4899278571484</v>
      </c>
      <c r="D24" s="9">
        <f t="shared" ref="D24:N24" si="4">SUM(D14:D23)</f>
        <v>12755.978140714284</v>
      </c>
      <c r="E24" s="9">
        <f t="shared" si="4"/>
        <v>14477.497214999999</v>
      </c>
      <c r="F24" s="9">
        <f t="shared" si="4"/>
        <v>15362.166739285716</v>
      </c>
      <c r="G24" s="9">
        <f t="shared" si="4"/>
        <v>15146.976855000003</v>
      </c>
      <c r="H24" s="9">
        <f t="shared" si="4"/>
        <v>13030.942992857148</v>
      </c>
      <c r="I24" s="9">
        <f t="shared" si="4"/>
        <v>11572.433777142849</v>
      </c>
      <c r="J24" s="9">
        <f t="shared" si="4"/>
        <v>13007.033005714284</v>
      </c>
      <c r="K24" s="9">
        <f t="shared" si="4"/>
        <v>15326.301758571433</v>
      </c>
      <c r="L24" s="9">
        <f t="shared" si="4"/>
        <v>15900.141450000001</v>
      </c>
      <c r="M24" s="9">
        <f t="shared" si="4"/>
        <v>15565.401630000002</v>
      </c>
      <c r="N24" s="9">
        <f t="shared" si="4"/>
        <v>15768.636520714284</v>
      </c>
      <c r="O24" s="9">
        <f>SUM(O14:O23)</f>
        <v>167370.00001285717</v>
      </c>
      <c r="Q24" s="10">
        <f>SUM(Q14:Q23)</f>
        <v>167407.4</v>
      </c>
    </row>
    <row r="26" spans="2:17" x14ac:dyDescent="0.3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>
        <f>O24-O2</f>
        <v>-6403.9066875317367</v>
      </c>
      <c r="P26" s="13">
        <f t="shared" ref="P26" si="5">P24-P2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B6BE-2879-4670-A4BD-4CF672A87143}">
  <sheetPr codeName="Sheet2"/>
  <dimension ref="B1:S25"/>
  <sheetViews>
    <sheetView zoomScale="70" zoomScaleNormal="70" workbookViewId="0">
      <selection activeCell="N2" sqref="N2"/>
    </sheetView>
  </sheetViews>
  <sheetFormatPr defaultRowHeight="14.5" x14ac:dyDescent="0.35"/>
  <cols>
    <col min="2" max="2" width="33" bestFit="1" customWidth="1"/>
    <col min="3" max="14" width="11.1796875" bestFit="1" customWidth="1"/>
    <col min="15" max="15" width="12.1796875" bestFit="1" customWidth="1"/>
    <col min="16" max="16" width="0.54296875" customWidth="1"/>
    <col min="17" max="17" width="12.1796875" bestFit="1" customWidth="1"/>
    <col min="19" max="19" width="13.6328125" bestFit="1" customWidth="1"/>
  </cols>
  <sheetData>
    <row r="1" spans="2:19" x14ac:dyDescent="0.35">
      <c r="B1" s="6" t="s">
        <v>20</v>
      </c>
      <c r="C1" s="7">
        <v>45839</v>
      </c>
      <c r="D1" s="7">
        <v>45870</v>
      </c>
      <c r="E1" s="7">
        <v>45901</v>
      </c>
      <c r="F1" s="7">
        <v>45931</v>
      </c>
      <c r="G1" s="7">
        <v>45962</v>
      </c>
      <c r="H1" s="7">
        <v>45992</v>
      </c>
      <c r="I1" s="7">
        <v>46023</v>
      </c>
      <c r="J1" s="7">
        <v>46054</v>
      </c>
      <c r="K1" s="7">
        <v>46082</v>
      </c>
      <c r="L1" s="7">
        <v>46113</v>
      </c>
      <c r="M1" s="7">
        <v>46143</v>
      </c>
      <c r="N1" s="7">
        <v>46174</v>
      </c>
      <c r="O1" s="6" t="s">
        <v>8</v>
      </c>
      <c r="Q1" s="6" t="s">
        <v>23</v>
      </c>
    </row>
    <row r="2" spans="2:19" x14ac:dyDescent="0.35">
      <c r="B2" s="4" t="s">
        <v>9</v>
      </c>
      <c r="C2" s="3">
        <v>5454319.9959305795</v>
      </c>
      <c r="D2" s="3">
        <v>5752926.3772893185</v>
      </c>
      <c r="E2" s="3">
        <v>4926995.5778454607</v>
      </c>
      <c r="F2" s="3">
        <v>3392434.9485350577</v>
      </c>
      <c r="G2" s="3">
        <v>5689128.6025069961</v>
      </c>
      <c r="H2" s="3">
        <v>4926995.5778454607</v>
      </c>
      <c r="I2" s="3">
        <v>5619640.5885789068</v>
      </c>
      <c r="J2" s="3">
        <v>5123373.7848970611</v>
      </c>
      <c r="K2" s="3">
        <v>5345184.0800136197</v>
      </c>
      <c r="L2" s="3">
        <v>5341329.370053228</v>
      </c>
      <c r="M2" s="3">
        <v>5311499.9856993863</v>
      </c>
      <c r="N2" s="3">
        <v>5334648.3496988788</v>
      </c>
      <c r="O2" s="3">
        <f>SUM(C2:N2)</f>
        <v>62218477.238893948</v>
      </c>
      <c r="Q2" s="5">
        <v>58711481</v>
      </c>
      <c r="R2" s="13">
        <f>(SUM(C2:E2))/1000</f>
        <v>16134.241951065358</v>
      </c>
    </row>
    <row r="3" spans="2:19" x14ac:dyDescent="0.35">
      <c r="B3" s="4" t="s">
        <v>0</v>
      </c>
      <c r="C3" s="3">
        <v>3252418.0486799786</v>
      </c>
      <c r="D3" s="3">
        <v>3430477.6464475193</v>
      </c>
      <c r="E3" s="3">
        <v>3239920.4654415054</v>
      </c>
      <c r="F3" s="3">
        <v>4976397.7102774559</v>
      </c>
      <c r="G3" s="3">
        <v>3023275.1701622768</v>
      </c>
      <c r="H3" s="3">
        <v>3023275.1701622768</v>
      </c>
      <c r="I3" s="3">
        <v>3350999.1534556383</v>
      </c>
      <c r="J3" s="3">
        <v>3055074.598706393</v>
      </c>
      <c r="K3" s="3">
        <v>3187340.3725485764</v>
      </c>
      <c r="L3" s="3">
        <v>3185041.8038749248</v>
      </c>
      <c r="M3" s="3">
        <v>3167254.5023309481</v>
      </c>
      <c r="N3" s="3">
        <v>3181057.9025561921</v>
      </c>
      <c r="O3" s="3">
        <f t="shared" ref="O3:O11" si="0">SUM(C3:N3)</f>
        <v>40072532.544643685</v>
      </c>
      <c r="Q3" s="5">
        <v>38607814</v>
      </c>
      <c r="R3" s="13">
        <f t="shared" ref="R3:R11" si="1">(SUM(C3:E3))/1000</f>
        <v>9922.8161605690038</v>
      </c>
    </row>
    <row r="4" spans="2:19" x14ac:dyDescent="0.35">
      <c r="B4" s="4" t="s">
        <v>1</v>
      </c>
      <c r="C4" s="3">
        <v>4771005.5905253235</v>
      </c>
      <c r="D4" s="3">
        <v>5032202.9350367701</v>
      </c>
      <c r="E4" s="3">
        <v>4385017.2452583713</v>
      </c>
      <c r="F4" s="3">
        <v>5404620.1244853018</v>
      </c>
      <c r="G4" s="3">
        <v>4434873.435327352</v>
      </c>
      <c r="H4" s="3">
        <v>4434873.435327352</v>
      </c>
      <c r="I4" s="3">
        <v>4915615.1163928509</v>
      </c>
      <c r="J4" s="3">
        <v>4481520.3440509541</v>
      </c>
      <c r="K4" s="3">
        <v>4675542.3677836563</v>
      </c>
      <c r="L4" s="3">
        <v>4672170.5737601882</v>
      </c>
      <c r="M4" s="3">
        <v>4646078.1982192257</v>
      </c>
      <c r="N4" s="3">
        <v>4666326.5479494426</v>
      </c>
      <c r="O4" s="3">
        <f t="shared" si="0"/>
        <v>56519845.914116785</v>
      </c>
      <c r="Q4" s="5">
        <v>52253113</v>
      </c>
      <c r="R4" s="13">
        <f t="shared" si="1"/>
        <v>14188.225770820465</v>
      </c>
    </row>
    <row r="5" spans="2:19" x14ac:dyDescent="0.35">
      <c r="B5" s="4" t="s">
        <v>2</v>
      </c>
      <c r="C5" s="3">
        <v>5181553.9978670143</v>
      </c>
      <c r="D5" s="3">
        <v>5465227.426864435</v>
      </c>
      <c r="E5" s="3">
        <v>5201338.3062350107</v>
      </c>
      <c r="F5" s="3">
        <v>10290794.682927651</v>
      </c>
      <c r="G5" s="3">
        <v>4816497.3166461624</v>
      </c>
      <c r="H5" s="3">
        <v>4816497.3166461624</v>
      </c>
      <c r="I5" s="3">
        <v>5338607.1469757454</v>
      </c>
      <c r="J5" s="3">
        <v>4867158.2236536434</v>
      </c>
      <c r="K5" s="3">
        <v>5077875.974747669</v>
      </c>
      <c r="L5" s="3">
        <v>5074214.0355507238</v>
      </c>
      <c r="M5" s="3">
        <v>5045876.393313434</v>
      </c>
      <c r="N5" s="3">
        <v>5067867.1273364676</v>
      </c>
      <c r="O5" s="3">
        <f t="shared" si="0"/>
        <v>66243507.948764108</v>
      </c>
      <c r="Q5" s="5">
        <v>61980627</v>
      </c>
      <c r="R5" s="13">
        <f t="shared" si="1"/>
        <v>15848.11973096646</v>
      </c>
    </row>
    <row r="6" spans="2:19" x14ac:dyDescent="0.35">
      <c r="B6" s="4" t="s">
        <v>3</v>
      </c>
      <c r="C6" s="3">
        <v>9866060.7414630447</v>
      </c>
      <c r="D6" s="3">
        <v>10406195.44943928</v>
      </c>
      <c r="E6" s="3">
        <v>9558219.6841259394</v>
      </c>
      <c r="F6" s="3">
        <v>7998573.5720185339</v>
      </c>
      <c r="G6" s="3">
        <v>9170965.5507375561</v>
      </c>
      <c r="H6" s="3">
        <v>9170965.5507375561</v>
      </c>
      <c r="I6" s="3">
        <v>10165101.112924105</v>
      </c>
      <c r="J6" s="3">
        <v>9267427.6480647996</v>
      </c>
      <c r="K6" s="3">
        <v>9668649.7622209508</v>
      </c>
      <c r="L6" s="3">
        <v>9661677.1603453066</v>
      </c>
      <c r="M6" s="3">
        <v>9607720.2029004972</v>
      </c>
      <c r="N6" s="3">
        <v>9649592.1797546465</v>
      </c>
      <c r="O6" s="3">
        <f t="shared" si="0"/>
        <v>114191148.61473221</v>
      </c>
      <c r="Q6" s="5">
        <v>113898465</v>
      </c>
      <c r="R6" s="13">
        <f t="shared" si="1"/>
        <v>29830.47587502826</v>
      </c>
    </row>
    <row r="7" spans="2:19" x14ac:dyDescent="0.35">
      <c r="B7" s="4" t="s">
        <v>4</v>
      </c>
      <c r="C7" s="3">
        <v>7668446.6168479966</v>
      </c>
      <c r="D7" s="3">
        <v>8088269.4166690847</v>
      </c>
      <c r="E7" s="3">
        <v>7533467.2527173106</v>
      </c>
      <c r="F7" s="3">
        <v>2857015.1004905212</v>
      </c>
      <c r="G7" s="3">
        <v>7128180.5676015094</v>
      </c>
      <c r="H7" s="3">
        <v>7128180.5676015094</v>
      </c>
      <c r="I7" s="3">
        <v>7900877.5924387518</v>
      </c>
      <c r="J7" s="3">
        <v>7203156.2333451062</v>
      </c>
      <c r="K7" s="3">
        <v>7515008.2037398554</v>
      </c>
      <c r="L7" s="3">
        <v>7509588.7127472637</v>
      </c>
      <c r="M7" s="3">
        <v>7467650.3875603313</v>
      </c>
      <c r="N7" s="3">
        <v>7500195.598867421</v>
      </c>
      <c r="O7" s="3">
        <f t="shared" si="0"/>
        <v>85500036.250626668</v>
      </c>
      <c r="Q7" s="5">
        <v>89770939</v>
      </c>
      <c r="R7" s="13">
        <f t="shared" si="1"/>
        <v>23290.183286234394</v>
      </c>
    </row>
    <row r="8" spans="2:19" x14ac:dyDescent="0.35">
      <c r="B8" s="4" t="s">
        <v>5</v>
      </c>
      <c r="C8" s="3">
        <v>2739096.5669483859</v>
      </c>
      <c r="D8" s="3">
        <v>2889053.6108962214</v>
      </c>
      <c r="E8" s="3">
        <v>3036689.7519184523</v>
      </c>
      <c r="F8" s="3">
        <v>2389485.1166557283</v>
      </c>
      <c r="G8" s="3">
        <v>2546118.9219918842</v>
      </c>
      <c r="H8" s="3">
        <v>2546118.9219918842</v>
      </c>
      <c r="I8" s="3">
        <v>2822119.0172822485</v>
      </c>
      <c r="J8" s="3">
        <v>2572899.523216601</v>
      </c>
      <c r="K8" s="3">
        <v>2684290.1081144372</v>
      </c>
      <c r="L8" s="3">
        <v>2682354.317005761</v>
      </c>
      <c r="M8" s="3">
        <v>2667374.3424803643</v>
      </c>
      <c r="N8" s="3">
        <v>2678999.1852496169</v>
      </c>
      <c r="O8" s="3">
        <f t="shared" si="0"/>
        <v>32254599.383751586</v>
      </c>
      <c r="Q8" s="5">
        <v>36186059</v>
      </c>
      <c r="R8" s="13">
        <f t="shared" si="1"/>
        <v>8664.8399297630604</v>
      </c>
    </row>
    <row r="9" spans="2:19" x14ac:dyDescent="0.35">
      <c r="B9" s="4" t="s">
        <v>6</v>
      </c>
      <c r="C9" s="3">
        <v>2290863.0312645771</v>
      </c>
      <c r="D9" s="3">
        <v>2416280.7551390869</v>
      </c>
      <c r="E9" s="3">
        <v>2198719.4092250564</v>
      </c>
      <c r="F9" s="3">
        <v>5884347.8853091793</v>
      </c>
      <c r="G9" s="3">
        <v>2129464.8629230512</v>
      </c>
      <c r="H9" s="3">
        <v>2129464.8629230512</v>
      </c>
      <c r="I9" s="3">
        <v>2360299.5266175685</v>
      </c>
      <c r="J9" s="3">
        <v>2151863.0112669524</v>
      </c>
      <c r="K9" s="3">
        <v>2245025.3276660708</v>
      </c>
      <c r="L9" s="3">
        <v>2243406.3148570932</v>
      </c>
      <c r="M9" s="3">
        <v>2230877.7054807646</v>
      </c>
      <c r="N9" s="3">
        <v>2240600.2262948207</v>
      </c>
      <c r="O9" s="3">
        <f t="shared" si="0"/>
        <v>30521212.918967269</v>
      </c>
      <c r="Q9" s="5">
        <v>26200566</v>
      </c>
      <c r="R9" s="13">
        <f t="shared" si="1"/>
        <v>6905.863195628719</v>
      </c>
    </row>
    <row r="10" spans="2:19" x14ac:dyDescent="0.35">
      <c r="B10" s="4" t="s">
        <v>7</v>
      </c>
      <c r="C10" s="3">
        <v>5641482.53035367</v>
      </c>
      <c r="D10" s="3">
        <v>5950334.8452387471</v>
      </c>
      <c r="E10" s="3">
        <v>5422996.1561808344</v>
      </c>
      <c r="F10" s="3">
        <v>5689128.6025069961</v>
      </c>
      <c r="G10" s="3">
        <v>5244021.8085638843</v>
      </c>
      <c r="H10" s="3">
        <v>5244021.8085638843</v>
      </c>
      <c r="I10" s="3">
        <v>5812475.4288433669</v>
      </c>
      <c r="J10" s="3">
        <v>5299179.5058952412</v>
      </c>
      <c r="K10" s="3">
        <v>5528601.0978827663</v>
      </c>
      <c r="L10" s="3">
        <v>5524614.115694684</v>
      </c>
      <c r="M10" s="3">
        <v>5493761.1526125604</v>
      </c>
      <c r="N10" s="3">
        <v>5517703.8398439148</v>
      </c>
      <c r="O10" s="3">
        <f t="shared" si="0"/>
        <v>66368320.892180555</v>
      </c>
      <c r="Q10" s="5">
        <v>64621965</v>
      </c>
      <c r="R10" s="13">
        <f t="shared" si="1"/>
        <v>17014.813531773256</v>
      </c>
    </row>
    <row r="11" spans="2:19" s="8" customFormat="1" x14ac:dyDescent="0.35">
      <c r="B11" s="6" t="s">
        <v>8</v>
      </c>
      <c r="C11" s="10">
        <f>SUM(C2:C10)</f>
        <v>46865247.119880579</v>
      </c>
      <c r="D11" s="10">
        <f t="shared" ref="D11:N11" si="2">SUM(D2:D10)</f>
        <v>49430968.463020466</v>
      </c>
      <c r="E11" s="10">
        <f t="shared" si="2"/>
        <v>45503363.848947935</v>
      </c>
      <c r="F11" s="10">
        <f t="shared" si="2"/>
        <v>48882797.743206427</v>
      </c>
      <c r="G11" s="10">
        <f t="shared" si="2"/>
        <v>44182526.236460671</v>
      </c>
      <c r="H11" s="10">
        <f t="shared" si="2"/>
        <v>43420393.21179913</v>
      </c>
      <c r="I11" s="10">
        <f t="shared" si="2"/>
        <v>48285734.683509178</v>
      </c>
      <c r="J11" s="10">
        <f t="shared" si="2"/>
        <v>44021652.873096749</v>
      </c>
      <c r="K11" s="10">
        <f t="shared" si="2"/>
        <v>45927517.294717595</v>
      </c>
      <c r="L11" s="10">
        <f t="shared" si="2"/>
        <v>45894396.403889179</v>
      </c>
      <c r="M11" s="10">
        <f t="shared" si="2"/>
        <v>45638092.870597504</v>
      </c>
      <c r="N11" s="10">
        <f t="shared" si="2"/>
        <v>45836990.957551405</v>
      </c>
      <c r="O11" s="3">
        <f t="shared" si="0"/>
        <v>553889681.70667684</v>
      </c>
      <c r="Q11" s="9">
        <f>SUM(Q2:Q10)</f>
        <v>542231029</v>
      </c>
      <c r="R11" s="13">
        <f t="shared" si="1"/>
        <v>141799.57943184898</v>
      </c>
    </row>
    <row r="13" spans="2:19" x14ac:dyDescent="0.35">
      <c r="B13" s="12" t="s">
        <v>22</v>
      </c>
      <c r="C13" s="7">
        <v>45839</v>
      </c>
      <c r="D13" s="7">
        <v>45870</v>
      </c>
      <c r="E13" s="7">
        <v>45901</v>
      </c>
      <c r="F13" s="7">
        <v>45931</v>
      </c>
      <c r="G13" s="7">
        <v>45962</v>
      </c>
      <c r="H13" s="7">
        <v>45992</v>
      </c>
      <c r="I13" s="7">
        <v>46023</v>
      </c>
      <c r="J13" s="7">
        <v>46054</v>
      </c>
      <c r="K13" s="7">
        <v>46082</v>
      </c>
      <c r="L13" s="7">
        <v>46113</v>
      </c>
      <c r="M13" s="7">
        <v>46143</v>
      </c>
      <c r="N13" s="7">
        <v>46174</v>
      </c>
      <c r="O13" s="6" t="s">
        <v>8</v>
      </c>
      <c r="Q13" s="6" t="s">
        <v>23</v>
      </c>
    </row>
    <row r="14" spans="2:19" x14ac:dyDescent="0.35">
      <c r="B14" s="4" t="s">
        <v>10</v>
      </c>
      <c r="C14" s="3">
        <v>988070.95084956847</v>
      </c>
      <c r="D14" s="3">
        <v>987981.95084956847</v>
      </c>
      <c r="E14" s="3">
        <v>987981.95084956847</v>
      </c>
      <c r="F14" s="3">
        <v>987981.95084956847</v>
      </c>
      <c r="G14" s="3">
        <v>987981.95084956847</v>
      </c>
      <c r="H14" s="3">
        <v>987981.95084956847</v>
      </c>
      <c r="I14" s="3">
        <v>987981.95084956847</v>
      </c>
      <c r="J14" s="3">
        <v>923214.14682619006</v>
      </c>
      <c r="K14" s="3">
        <v>987981.95084956847</v>
      </c>
      <c r="L14" s="3">
        <v>987981.95084956847</v>
      </c>
      <c r="M14" s="3">
        <v>987981.95084956847</v>
      </c>
      <c r="N14" s="3">
        <v>992791.58732146421</v>
      </c>
      <c r="O14" s="3">
        <f t="shared" ref="O14" si="3">SUM(C14:N14)</f>
        <v>11795914.242643338</v>
      </c>
      <c r="Q14" s="3">
        <v>11773074</v>
      </c>
      <c r="S14" s="14"/>
    </row>
    <row r="15" spans="2:19" x14ac:dyDescent="0.35">
      <c r="B15" s="4" t="s">
        <v>11</v>
      </c>
      <c r="C15" s="3">
        <v>756483.55935523496</v>
      </c>
      <c r="D15" s="3">
        <v>756415.55935523496</v>
      </c>
      <c r="E15" s="3">
        <v>756415.55935523496</v>
      </c>
      <c r="F15" s="3">
        <v>756415.55935523496</v>
      </c>
      <c r="G15" s="3">
        <v>756415.55935523496</v>
      </c>
      <c r="H15" s="3">
        <v>756415.55935523496</v>
      </c>
      <c r="I15" s="3">
        <v>756415.55935523496</v>
      </c>
      <c r="J15" s="3">
        <v>706828.2418273933</v>
      </c>
      <c r="K15" s="3">
        <v>756415.55935523496</v>
      </c>
      <c r="L15" s="3">
        <v>756415.55935523496</v>
      </c>
      <c r="M15" s="3">
        <v>756415.55935523496</v>
      </c>
      <c r="N15" s="3">
        <v>760097.89774112951</v>
      </c>
      <c r="O15" s="3">
        <f>SUM(C15:N15)</f>
        <v>9031149.7331208698</v>
      </c>
      <c r="Q15" s="3">
        <v>9013663</v>
      </c>
      <c r="S15" s="14"/>
    </row>
    <row r="16" spans="2:19" x14ac:dyDescent="0.35">
      <c r="B16" s="4" t="s">
        <v>12</v>
      </c>
      <c r="C16" s="3">
        <v>766540.88186693471</v>
      </c>
      <c r="D16" s="3">
        <v>766471.88186693471</v>
      </c>
      <c r="E16" s="3">
        <v>766471.88186693471</v>
      </c>
      <c r="F16" s="3">
        <v>766471.88186693471</v>
      </c>
      <c r="G16" s="3">
        <v>766471.88186693471</v>
      </c>
      <c r="H16" s="3">
        <v>766471.88186693471</v>
      </c>
      <c r="I16" s="3">
        <v>766471.88186693471</v>
      </c>
      <c r="J16" s="3">
        <v>716225.31552885554</v>
      </c>
      <c r="K16" s="3">
        <v>766471.88186693471</v>
      </c>
      <c r="L16" s="3">
        <v>766471.88186693471</v>
      </c>
      <c r="M16" s="3">
        <v>766471.88186693471</v>
      </c>
      <c r="N16" s="3">
        <v>770203.17585923872</v>
      </c>
      <c r="O16" s="3">
        <f t="shared" ref="O16:O23" si="4">SUM(C16:N16)</f>
        <v>9151216.3100574408</v>
      </c>
      <c r="Q16" s="3">
        <v>9133497</v>
      </c>
      <c r="S16" s="14"/>
    </row>
    <row r="17" spans="2:19" x14ac:dyDescent="0.35">
      <c r="B17" s="4" t="s">
        <v>16</v>
      </c>
      <c r="C17" s="3">
        <v>205583.2499313587</v>
      </c>
      <c r="D17" s="3">
        <v>205565.2499313587</v>
      </c>
      <c r="E17" s="3">
        <v>205565.2499313587</v>
      </c>
      <c r="F17" s="3">
        <v>205565.2499313587</v>
      </c>
      <c r="G17" s="3">
        <v>205565.2499313587</v>
      </c>
      <c r="H17" s="3">
        <v>205565.2499313587</v>
      </c>
      <c r="I17" s="3">
        <v>205565.2499313587</v>
      </c>
      <c r="J17" s="3">
        <v>192089.28530455322</v>
      </c>
      <c r="K17" s="3">
        <v>205565.2499313587</v>
      </c>
      <c r="L17" s="3">
        <v>205565.2499313587</v>
      </c>
      <c r="M17" s="3">
        <v>205565.2499313587</v>
      </c>
      <c r="N17" s="3">
        <v>206565.97076697118</v>
      </c>
      <c r="O17" s="3">
        <f t="shared" si="4"/>
        <v>2454325.7553851116</v>
      </c>
      <c r="Q17" s="3">
        <v>2449574</v>
      </c>
      <c r="S17" s="14"/>
    </row>
    <row r="18" spans="2:19" x14ac:dyDescent="0.35">
      <c r="B18" s="4" t="s">
        <v>19</v>
      </c>
      <c r="C18" s="3">
        <v>76777.23828682286</v>
      </c>
      <c r="D18" s="3">
        <v>76770.23828682286</v>
      </c>
      <c r="E18" s="3">
        <v>76770.23828682286</v>
      </c>
      <c r="F18" s="3">
        <v>76770.23828682286</v>
      </c>
      <c r="G18" s="3">
        <v>76770.23828682286</v>
      </c>
      <c r="H18" s="3">
        <v>76770.23828682286</v>
      </c>
      <c r="I18" s="3">
        <v>76770.23828682286</v>
      </c>
      <c r="J18" s="3">
        <v>71737.515023089785</v>
      </c>
      <c r="K18" s="3">
        <v>76770.23828682286</v>
      </c>
      <c r="L18" s="3">
        <v>76770.23828682286</v>
      </c>
      <c r="M18" s="3">
        <v>76770.23828682286</v>
      </c>
      <c r="N18" s="3">
        <v>77143.966711418994</v>
      </c>
      <c r="O18" s="3">
        <f t="shared" si="4"/>
        <v>916590.86460273736</v>
      </c>
      <c r="Q18" s="3">
        <v>914816</v>
      </c>
      <c r="S18" s="14"/>
    </row>
    <row r="19" spans="2:19" x14ac:dyDescent="0.35">
      <c r="B19" s="4" t="s">
        <v>17</v>
      </c>
      <c r="C19" s="3">
        <v>57898.800741433326</v>
      </c>
      <c r="D19" s="3">
        <v>57893.800741433326</v>
      </c>
      <c r="E19" s="3">
        <v>57893.800741433326</v>
      </c>
      <c r="F19" s="3">
        <v>57893.800741433326</v>
      </c>
      <c r="G19" s="3">
        <v>57893.800741433326</v>
      </c>
      <c r="H19" s="3">
        <v>57893.800741433326</v>
      </c>
      <c r="I19" s="3">
        <v>57893.800741433326</v>
      </c>
      <c r="J19" s="3">
        <v>54098.534707104118</v>
      </c>
      <c r="K19" s="3">
        <v>57893.800741433326</v>
      </c>
      <c r="L19" s="3">
        <v>57893.800741433326</v>
      </c>
      <c r="M19" s="3">
        <v>57893.800741433326</v>
      </c>
      <c r="N19" s="3">
        <v>58175.635986807218</v>
      </c>
      <c r="O19" s="3">
        <f t="shared" si="4"/>
        <v>691217.17810824455</v>
      </c>
      <c r="Q19" s="3">
        <v>689879</v>
      </c>
      <c r="S19" s="14"/>
    </row>
    <row r="20" spans="2:19" x14ac:dyDescent="0.35">
      <c r="B20" s="4" t="s">
        <v>18</v>
      </c>
      <c r="C20" s="3">
        <v>62516.843917399223</v>
      </c>
      <c r="D20" s="3">
        <v>62510.843917399223</v>
      </c>
      <c r="E20" s="3">
        <v>62510.843917399223</v>
      </c>
      <c r="F20" s="3">
        <v>62510.843917399223</v>
      </c>
      <c r="G20" s="3">
        <v>62510.843917399223</v>
      </c>
      <c r="H20" s="3">
        <v>62510.843917399223</v>
      </c>
      <c r="I20" s="3">
        <v>62510.843917399223</v>
      </c>
      <c r="J20" s="3">
        <v>58412.904593005056</v>
      </c>
      <c r="K20" s="3">
        <v>62510.843917399223</v>
      </c>
      <c r="L20" s="3">
        <v>62510.843917399223</v>
      </c>
      <c r="M20" s="3">
        <v>62510.843917399223</v>
      </c>
      <c r="N20" s="3">
        <v>62815.155584768829</v>
      </c>
      <c r="O20" s="3">
        <f t="shared" si="4"/>
        <v>746342.49935176608</v>
      </c>
      <c r="Q20" s="3">
        <v>744897</v>
      </c>
      <c r="S20" s="14"/>
    </row>
    <row r="21" spans="2:19" x14ac:dyDescent="0.35">
      <c r="B21" s="4" t="s">
        <v>15</v>
      </c>
      <c r="C21" s="3">
        <v>692342.5514619071</v>
      </c>
      <c r="D21" s="3">
        <v>692280.5514619071</v>
      </c>
      <c r="E21" s="3">
        <v>692280.5514619071</v>
      </c>
      <c r="F21" s="3">
        <v>692280.5514619071</v>
      </c>
      <c r="G21" s="3">
        <v>692280.5514619071</v>
      </c>
      <c r="H21" s="3">
        <v>692280.5514619071</v>
      </c>
      <c r="I21" s="3">
        <v>692280.5514619071</v>
      </c>
      <c r="J21" s="3">
        <v>646897.64639190526</v>
      </c>
      <c r="K21" s="3">
        <v>692280.5514619071</v>
      </c>
      <c r="L21" s="3">
        <v>692280.5514619071</v>
      </c>
      <c r="M21" s="3">
        <v>692280.5514619071</v>
      </c>
      <c r="N21" s="3">
        <v>695650.67151949741</v>
      </c>
      <c r="O21" s="3">
        <f t="shared" si="4"/>
        <v>8265415.8325304734</v>
      </c>
      <c r="Q21" s="3">
        <v>8249412</v>
      </c>
      <c r="S21" s="14"/>
    </row>
    <row r="22" spans="2:19" x14ac:dyDescent="0.35">
      <c r="B22" s="4" t="s">
        <v>13</v>
      </c>
      <c r="C22" s="3">
        <v>582786.82848113682</v>
      </c>
      <c r="D22" s="3">
        <v>582734.82848113682</v>
      </c>
      <c r="E22" s="3">
        <v>582734.82848113682</v>
      </c>
      <c r="F22" s="3">
        <v>582734.82848113682</v>
      </c>
      <c r="G22" s="3">
        <v>582734.82848113682</v>
      </c>
      <c r="H22" s="3">
        <v>582734.82848113682</v>
      </c>
      <c r="I22" s="3">
        <v>582734.82848113682</v>
      </c>
      <c r="J22" s="3">
        <v>544533.26504548045</v>
      </c>
      <c r="K22" s="3">
        <v>582734.82848113682</v>
      </c>
      <c r="L22" s="3">
        <v>582734.82848113682</v>
      </c>
      <c r="M22" s="3">
        <v>582734.82848113682</v>
      </c>
      <c r="N22" s="3">
        <v>585571.66439913784</v>
      </c>
      <c r="O22" s="3">
        <f t="shared" si="4"/>
        <v>6957505.2142559867</v>
      </c>
      <c r="Q22" s="3">
        <v>6944034</v>
      </c>
      <c r="S22" s="14"/>
    </row>
    <row r="23" spans="2:19" x14ac:dyDescent="0.35">
      <c r="B23" s="4" t="s">
        <v>14</v>
      </c>
      <c r="C23" s="3">
        <v>738436.67295366467</v>
      </c>
      <c r="D23" s="3">
        <v>738370.67295366467</v>
      </c>
      <c r="E23" s="3">
        <v>738370.67295366467</v>
      </c>
      <c r="F23" s="3">
        <v>738370.67295366467</v>
      </c>
      <c r="G23" s="3">
        <v>738370.67295366467</v>
      </c>
      <c r="H23" s="3">
        <v>738370.67295366467</v>
      </c>
      <c r="I23" s="3">
        <v>738370.67295366467</v>
      </c>
      <c r="J23" s="3">
        <v>689966.29977523745</v>
      </c>
      <c r="K23" s="3">
        <v>738370.67295366467</v>
      </c>
      <c r="L23" s="3">
        <v>738370.67295366467</v>
      </c>
      <c r="M23" s="3">
        <v>738370.67295366467</v>
      </c>
      <c r="N23" s="3">
        <v>741965.16626942041</v>
      </c>
      <c r="O23" s="3">
        <f t="shared" si="4"/>
        <v>8815704.195581302</v>
      </c>
      <c r="Q23" s="3">
        <v>8798635</v>
      </c>
      <c r="S23" s="14"/>
    </row>
    <row r="24" spans="2:19" s="8" customFormat="1" x14ac:dyDescent="0.35">
      <c r="B24" s="6" t="s">
        <v>8</v>
      </c>
      <c r="C24" s="10">
        <f>SUM(C14:C23)</f>
        <v>4927437.5778454607</v>
      </c>
      <c r="D24" s="10">
        <f t="shared" ref="D24:N24" si="5">SUM(D14:D23)</f>
        <v>4926995.5778454607</v>
      </c>
      <c r="E24" s="10">
        <f t="shared" si="5"/>
        <v>4926995.5778454607</v>
      </c>
      <c r="F24" s="10">
        <f t="shared" si="5"/>
        <v>4926995.5778454607</v>
      </c>
      <c r="G24" s="10">
        <f t="shared" si="5"/>
        <v>4926995.5778454607</v>
      </c>
      <c r="H24" s="10">
        <f t="shared" si="5"/>
        <v>4926995.5778454607</v>
      </c>
      <c r="I24" s="10">
        <f t="shared" si="5"/>
        <v>4926995.5778454607</v>
      </c>
      <c r="J24" s="10">
        <f t="shared" si="5"/>
        <v>4604003.1550228149</v>
      </c>
      <c r="K24" s="10">
        <f t="shared" si="5"/>
        <v>4926995.5778454607</v>
      </c>
      <c r="L24" s="10">
        <f t="shared" si="5"/>
        <v>4926995.5778454607</v>
      </c>
      <c r="M24" s="10">
        <f t="shared" si="5"/>
        <v>4926995.5778454607</v>
      </c>
      <c r="N24" s="10">
        <f t="shared" si="5"/>
        <v>4950980.892159855</v>
      </c>
      <c r="O24" s="10">
        <f>SUM(O14:O23)</f>
        <v>58825381.825637273</v>
      </c>
      <c r="Q24" s="10">
        <f>SUM(Q14:Q23)</f>
        <v>58711481</v>
      </c>
      <c r="S24" s="14"/>
    </row>
    <row r="25" spans="2:19" x14ac:dyDescent="0.35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A949-2471-48F8-A483-182A38B82AF7}">
  <sheetPr codeName="Sheet3"/>
  <dimension ref="B1:R27"/>
  <sheetViews>
    <sheetView topLeftCell="B6" zoomScale="105" zoomScaleNormal="70" workbookViewId="0">
      <selection activeCell="E15" sqref="E15"/>
    </sheetView>
  </sheetViews>
  <sheetFormatPr defaultRowHeight="14.5" x14ac:dyDescent="0.35"/>
  <cols>
    <col min="2" max="2" width="34.36328125" bestFit="1" customWidth="1"/>
    <col min="3" max="14" width="11.81640625" bestFit="1" customWidth="1"/>
    <col min="15" max="15" width="12.36328125" bestFit="1" customWidth="1"/>
    <col min="16" max="16" width="9.453125" customWidth="1"/>
    <col min="17" max="17" width="12.36328125" bestFit="1" customWidth="1"/>
    <col min="18" max="18" width="7.7265625" bestFit="1" customWidth="1"/>
  </cols>
  <sheetData>
    <row r="1" spans="2:18" x14ac:dyDescent="0.35">
      <c r="B1" s="6" t="s">
        <v>20</v>
      </c>
      <c r="C1" s="7">
        <v>45839</v>
      </c>
      <c r="D1" s="7">
        <v>45870</v>
      </c>
      <c r="E1" s="7">
        <v>45901</v>
      </c>
      <c r="F1" s="7">
        <v>45931</v>
      </c>
      <c r="G1" s="7">
        <v>45962</v>
      </c>
      <c r="H1" s="7">
        <v>45992</v>
      </c>
      <c r="I1" s="7">
        <v>46023</v>
      </c>
      <c r="J1" s="7">
        <v>46054</v>
      </c>
      <c r="K1" s="7">
        <v>46082</v>
      </c>
      <c r="L1" s="7">
        <v>46113</v>
      </c>
      <c r="M1" s="7">
        <v>46143</v>
      </c>
      <c r="N1" s="7">
        <v>46174</v>
      </c>
      <c r="O1" s="6" t="s">
        <v>8</v>
      </c>
      <c r="Q1" s="6" t="s">
        <v>23</v>
      </c>
    </row>
    <row r="2" spans="2:18" x14ac:dyDescent="0.35">
      <c r="B2" s="2" t="s">
        <v>9</v>
      </c>
      <c r="C2" s="3">
        <v>1517134.4132081312</v>
      </c>
      <c r="D2" s="3">
        <v>1561733.3487334144</v>
      </c>
      <c r="E2" s="3">
        <v>1580207.8721584824</v>
      </c>
      <c r="F2" s="3">
        <v>1582944.6233045715</v>
      </c>
      <c r="G2" s="3">
        <v>1472929.6127263957</v>
      </c>
      <c r="H2" s="3">
        <v>1423051.0340914335</v>
      </c>
      <c r="I2" s="3">
        <v>1630335.1914501176</v>
      </c>
      <c r="J2" s="3">
        <v>1219528.4091881968</v>
      </c>
      <c r="K2" s="3">
        <v>1300988.8227740135</v>
      </c>
      <c r="L2" s="3">
        <v>1202831.7586630692</v>
      </c>
      <c r="M2" s="3">
        <v>1047139.3576214523</v>
      </c>
      <c r="N2" s="3">
        <v>1244184.8362171943</v>
      </c>
      <c r="O2" s="3">
        <f>SUM(C2:N2)</f>
        <v>16783009.28013647</v>
      </c>
      <c r="Q2" s="3">
        <v>14972076</v>
      </c>
      <c r="R2" s="13">
        <f>(SUM(C2:E2))/1000</f>
        <v>4659.0756341000288</v>
      </c>
    </row>
    <row r="3" spans="2:18" x14ac:dyDescent="0.35">
      <c r="B3" s="2" t="s">
        <v>0</v>
      </c>
      <c r="C3" s="3">
        <v>1279212.2686106397</v>
      </c>
      <c r="D3" s="3">
        <v>1316817.0483811258</v>
      </c>
      <c r="E3" s="3">
        <v>1332394.3346230926</v>
      </c>
      <c r="F3" s="3">
        <v>1334701.8992078339</v>
      </c>
      <c r="G3" s="3">
        <v>1241939.8142945145</v>
      </c>
      <c r="H3" s="3">
        <v>1199883.3628850565</v>
      </c>
      <c r="I3" s="3">
        <v>1374660.5183390279</v>
      </c>
      <c r="J3" s="3">
        <v>1028277.8436578389</v>
      </c>
      <c r="K3" s="3">
        <v>1096963.359956109</v>
      </c>
      <c r="L3" s="3">
        <v>1014199.6182807725</v>
      </c>
      <c r="M3" s="3">
        <v>882923.42560596974</v>
      </c>
      <c r="N3" s="3">
        <v>1049067.5664938665</v>
      </c>
      <c r="O3" s="3">
        <f t="shared" ref="O3:O10" si="0">SUM(C3:N3)</f>
        <v>14151041.060335848</v>
      </c>
      <c r="Q3" s="3">
        <v>13576970</v>
      </c>
      <c r="R3" s="13">
        <f t="shared" ref="R3:R11" si="1">(SUM(C3:E3))/1000</f>
        <v>3928.423651614858</v>
      </c>
    </row>
    <row r="4" spans="2:18" x14ac:dyDescent="0.35">
      <c r="B4" s="2" t="s">
        <v>1</v>
      </c>
      <c r="C4" s="3">
        <v>1932424.9325429744</v>
      </c>
      <c r="D4" s="3">
        <v>1989232.0909750932</v>
      </c>
      <c r="E4" s="3">
        <v>2012763.7104365211</v>
      </c>
      <c r="F4" s="3">
        <v>2016249.6020640698</v>
      </c>
      <c r="G4" s="3">
        <v>1876119.7971210184</v>
      </c>
      <c r="H4" s="3">
        <v>1812587.7803696566</v>
      </c>
      <c r="I4" s="3">
        <v>2076612.5564961545</v>
      </c>
      <c r="J4" s="3">
        <v>1553354.1941589592</v>
      </c>
      <c r="K4" s="3">
        <v>1657113.0522126912</v>
      </c>
      <c r="L4" s="3">
        <v>1532087.1109764706</v>
      </c>
      <c r="M4" s="3">
        <v>1333776.4834137526</v>
      </c>
      <c r="N4" s="3">
        <v>1584759.9113607118</v>
      </c>
      <c r="O4" s="3">
        <f t="shared" si="0"/>
        <v>21377081.222128075</v>
      </c>
      <c r="Q4" s="3">
        <v>16464308</v>
      </c>
      <c r="R4" s="13">
        <f t="shared" si="1"/>
        <v>5934.4207339545892</v>
      </c>
    </row>
    <row r="5" spans="2:18" x14ac:dyDescent="0.35">
      <c r="B5" s="2" t="s">
        <v>2</v>
      </c>
      <c r="C5" s="3">
        <v>2973470.4341367166</v>
      </c>
      <c r="D5" s="3">
        <v>3060881.0254619606</v>
      </c>
      <c r="E5" s="3">
        <v>3097089.7151541566</v>
      </c>
      <c r="F5" s="3">
        <v>3102453.5435319459</v>
      </c>
      <c r="G5" s="3">
        <v>2886832.3181365617</v>
      </c>
      <c r="H5" s="3">
        <v>2789074.0196123049</v>
      </c>
      <c r="I5" s="3">
        <v>3195335.5268360781</v>
      </c>
      <c r="J5" s="3">
        <v>2390184.8357937257</v>
      </c>
      <c r="K5" s="3">
        <v>2549841.1781989946</v>
      </c>
      <c r="L5" s="3">
        <v>2357460.6445464934</v>
      </c>
      <c r="M5" s="3">
        <v>2052315.1364843186</v>
      </c>
      <c r="N5" s="3">
        <v>2438509.5960416598</v>
      </c>
      <c r="O5" s="3">
        <f t="shared" si="0"/>
        <v>32893447.973934915</v>
      </c>
      <c r="Q5" s="3">
        <v>34024743</v>
      </c>
      <c r="R5" s="13">
        <f t="shared" si="1"/>
        <v>9131.4411747528338</v>
      </c>
    </row>
    <row r="6" spans="2:18" x14ac:dyDescent="0.35">
      <c r="B6" s="2" t="s">
        <v>3</v>
      </c>
      <c r="C6" s="3">
        <v>1612201.1274034372</v>
      </c>
      <c r="D6" s="3">
        <v>1659594.722531775</v>
      </c>
      <c r="E6" s="3">
        <v>1679226.8970015065</v>
      </c>
      <c r="F6" s="3">
        <v>1682135.1385157292</v>
      </c>
      <c r="G6" s="3">
        <v>1565226.3646185123</v>
      </c>
      <c r="H6" s="3">
        <v>1512222.2932531261</v>
      </c>
      <c r="I6" s="3">
        <v>1732495.2956167581</v>
      </c>
      <c r="J6" s="3">
        <v>1295946.5285848763</v>
      </c>
      <c r="K6" s="3">
        <v>1382511.4166254108</v>
      </c>
      <c r="L6" s="3">
        <v>1278203.6321307973</v>
      </c>
      <c r="M6" s="3">
        <v>1112755.2299970256</v>
      </c>
      <c r="N6" s="3">
        <v>1322147.9772553556</v>
      </c>
      <c r="O6" s="3">
        <f t="shared" si="0"/>
        <v>17834666.623534311</v>
      </c>
      <c r="Q6" s="3">
        <v>16087740</v>
      </c>
      <c r="R6" s="13">
        <f t="shared" si="1"/>
        <v>4951.0227469367192</v>
      </c>
    </row>
    <row r="7" spans="2:18" x14ac:dyDescent="0.35">
      <c r="B7" s="2" t="s">
        <v>4</v>
      </c>
      <c r="C7" s="3">
        <v>1907444.7178637113</v>
      </c>
      <c r="D7" s="3">
        <v>1963517.5372852657</v>
      </c>
      <c r="E7" s="3">
        <v>1986744.9664539697</v>
      </c>
      <c r="F7" s="3">
        <v>1990185.7963977561</v>
      </c>
      <c r="G7" s="3">
        <v>1851867.4318638463</v>
      </c>
      <c r="H7" s="3">
        <v>1789156.6855229044</v>
      </c>
      <c r="I7" s="3">
        <v>2049768.4464904615</v>
      </c>
      <c r="J7" s="3">
        <v>1533274.1793601636</v>
      </c>
      <c r="K7" s="3">
        <v>1635691.759672438</v>
      </c>
      <c r="L7" s="3">
        <v>1512282.0130940082</v>
      </c>
      <c r="M7" s="3">
        <v>1316534.9221356215</v>
      </c>
      <c r="N7" s="3">
        <v>1564273.9187955128</v>
      </c>
      <c r="O7" s="3">
        <f t="shared" si="0"/>
        <v>21100742.374935657</v>
      </c>
      <c r="Q7" s="3">
        <v>22039760</v>
      </c>
      <c r="R7" s="13">
        <f t="shared" si="1"/>
        <v>5857.7072216029464</v>
      </c>
    </row>
    <row r="8" spans="2:18" x14ac:dyDescent="0.35">
      <c r="B8" s="2" t="s">
        <v>5</v>
      </c>
      <c r="C8" s="3">
        <v>1397221.1609581641</v>
      </c>
      <c r="D8" s="3">
        <v>1438295.0275382281</v>
      </c>
      <c r="E8" s="3">
        <v>1455309.3374394439</v>
      </c>
      <c r="F8" s="3">
        <v>1457829.7776722289</v>
      </c>
      <c r="G8" s="3">
        <v>1356510.2772610444</v>
      </c>
      <c r="H8" s="3">
        <v>1310574.0669025199</v>
      </c>
      <c r="I8" s="3">
        <v>1501474.6281655799</v>
      </c>
      <c r="J8" s="3">
        <v>1123137.7291773523</v>
      </c>
      <c r="K8" s="3">
        <v>1198159.5681466674</v>
      </c>
      <c r="L8" s="3">
        <v>1107760.7703345956</v>
      </c>
      <c r="M8" s="3">
        <v>964374.18873585039</v>
      </c>
      <c r="N8" s="3">
        <v>1145845.3293073152</v>
      </c>
      <c r="O8" s="3">
        <f t="shared" si="0"/>
        <v>15456491.861638993</v>
      </c>
      <c r="Q8" s="3">
        <v>21931114</v>
      </c>
      <c r="R8" s="13">
        <f t="shared" si="1"/>
        <v>4290.8255259358357</v>
      </c>
    </row>
    <row r="9" spans="2:18" x14ac:dyDescent="0.35">
      <c r="B9" s="2" t="s">
        <v>6</v>
      </c>
      <c r="C9" s="3">
        <v>3939541.4372653095</v>
      </c>
      <c r="D9" s="3">
        <v>4055351.4492392936</v>
      </c>
      <c r="E9" s="3">
        <v>4103324.2260302971</v>
      </c>
      <c r="F9" s="3">
        <v>4110430.7450372078</v>
      </c>
      <c r="G9" s="3">
        <v>3824754.8753709076</v>
      </c>
      <c r="H9" s="3">
        <v>3695235.2193314573</v>
      </c>
      <c r="I9" s="3">
        <v>4233489.7866880624</v>
      </c>
      <c r="J9" s="3">
        <v>3166748.219598949</v>
      </c>
      <c r="K9" s="3">
        <v>3378276.3953651846</v>
      </c>
      <c r="L9" s="3">
        <v>3123392.0436170292</v>
      </c>
      <c r="M9" s="3">
        <v>2719105.7391004935</v>
      </c>
      <c r="N9" s="3">
        <v>3230773.5393926264</v>
      </c>
      <c r="O9" s="3">
        <f t="shared" si="0"/>
        <v>43580423.676036827</v>
      </c>
      <c r="Q9" s="3">
        <v>42518173</v>
      </c>
      <c r="R9" s="13">
        <f t="shared" si="1"/>
        <v>12098.217112534901</v>
      </c>
    </row>
    <row r="10" spans="2:18" x14ac:dyDescent="0.35">
      <c r="B10" s="2" t="s">
        <v>7</v>
      </c>
      <c r="C10" s="3">
        <v>4543351.302621196</v>
      </c>
      <c r="D10" s="3">
        <v>4676911.4078104487</v>
      </c>
      <c r="E10" s="3">
        <v>4732236.9276443161</v>
      </c>
      <c r="F10" s="3">
        <v>4740432.6562338751</v>
      </c>
      <c r="G10" s="3">
        <v>4410971.5107568009</v>
      </c>
      <c r="H10" s="3">
        <v>4261600.4970607581</v>
      </c>
      <c r="I10" s="3">
        <v>4882352.8431609692</v>
      </c>
      <c r="J10" s="3">
        <v>3652112.7846228811</v>
      </c>
      <c r="K10" s="3">
        <v>3896061.6878677565</v>
      </c>
      <c r="L10" s="3">
        <v>3602111.4477259489</v>
      </c>
      <c r="M10" s="3">
        <v>3135860.5559642506</v>
      </c>
      <c r="N10" s="3">
        <v>3725951.2058497104</v>
      </c>
      <c r="O10" s="3">
        <f t="shared" si="0"/>
        <v>50259954.827318907</v>
      </c>
      <c r="Q10" s="3">
        <v>48320329</v>
      </c>
      <c r="R10" s="13">
        <f t="shared" si="1"/>
        <v>13952.49963807596</v>
      </c>
    </row>
    <row r="11" spans="2:18" s="8" customFormat="1" x14ac:dyDescent="0.35">
      <c r="B11" s="11" t="s">
        <v>8</v>
      </c>
      <c r="C11" s="10">
        <f>SUM(C2:C10)</f>
        <v>21102001.794610281</v>
      </c>
      <c r="D11" s="10">
        <f>SUM(D2:D10)</f>
        <v>21722333.657956608</v>
      </c>
      <c r="E11" s="10">
        <f>SUM(E2:E10)</f>
        <v>21979297.986941785</v>
      </c>
      <c r="F11" s="10">
        <f>SUM(F2:F10)</f>
        <v>22017363.781965218</v>
      </c>
      <c r="G11" s="10">
        <f>SUM(G2:G10)</f>
        <v>20487152.002149604</v>
      </c>
      <c r="H11" s="10">
        <f>SUM(H2:H10)</f>
        <v>19793384.959029216</v>
      </c>
      <c r="I11" s="10">
        <f>SUM(I2:I10)</f>
        <v>22676524.793243207</v>
      </c>
      <c r="J11" s="10">
        <f>SUM(J2:J10)</f>
        <v>16962564.724142943</v>
      </c>
      <c r="K11" s="10">
        <f>SUM(K2:K10)</f>
        <v>18095607.240819264</v>
      </c>
      <c r="L11" s="10">
        <f>SUM(L2:L10)</f>
        <v>16730329.039369185</v>
      </c>
      <c r="M11" s="10">
        <f>SUM(M2:M10)</f>
        <v>14564785.039058734</v>
      </c>
      <c r="N11" s="10">
        <f>SUM(N2:N10)</f>
        <v>17305513.880713951</v>
      </c>
      <c r="O11" s="10">
        <f>SUM(O2:O10)</f>
        <v>233436858.90000001</v>
      </c>
      <c r="Q11" s="10">
        <f>SUM(Q2:Q10)</f>
        <v>229935213</v>
      </c>
      <c r="R11" s="13">
        <f t="shared" si="1"/>
        <v>64803.633439508674</v>
      </c>
    </row>
    <row r="13" spans="2:18" x14ac:dyDescent="0.35">
      <c r="B13" s="3" t="s">
        <v>10</v>
      </c>
      <c r="C13" s="3">
        <v>116001.40315539377</v>
      </c>
      <c r="D13" s="3">
        <v>115979.61315539377</v>
      </c>
      <c r="E13" s="3">
        <v>115979.61315539377</v>
      </c>
      <c r="F13" s="3">
        <v>141753.66745022743</v>
      </c>
      <c r="G13" s="3">
        <v>141753.66745022743</v>
      </c>
      <c r="H13" s="3">
        <v>115979.61315539377</v>
      </c>
      <c r="I13" s="3">
        <v>103096.21717933449</v>
      </c>
      <c r="J13" s="3">
        <v>103096.21717933449</v>
      </c>
      <c r="K13" s="3">
        <v>115979.61315539377</v>
      </c>
      <c r="L13" s="3">
        <v>146568.60067014137</v>
      </c>
      <c r="M13" s="3">
        <v>141753.66745022743</v>
      </c>
      <c r="N13" s="3">
        <v>115979.61315539377</v>
      </c>
      <c r="O13" s="3">
        <f>SUM(C13:N13)</f>
        <v>1473921.5063118553</v>
      </c>
      <c r="Q13" s="3">
        <v>1394742</v>
      </c>
    </row>
    <row r="14" spans="2:18" x14ac:dyDescent="0.35">
      <c r="B14" s="3" t="s">
        <v>11</v>
      </c>
      <c r="C14" s="3">
        <v>131795.39300793721</v>
      </c>
      <c r="D14" s="3">
        <v>131770.64300793721</v>
      </c>
      <c r="E14" s="3">
        <v>131770.64300793721</v>
      </c>
      <c r="F14" s="3">
        <v>161053.92491370864</v>
      </c>
      <c r="G14" s="3">
        <v>161053.92491370864</v>
      </c>
      <c r="H14" s="3">
        <v>131770.64300793721</v>
      </c>
      <c r="I14" s="3">
        <v>117133.12762308569</v>
      </c>
      <c r="J14" s="3">
        <v>117133.12762308569</v>
      </c>
      <c r="K14" s="3">
        <v>131770.64300793721</v>
      </c>
      <c r="L14" s="3">
        <v>166524.4281268747</v>
      </c>
      <c r="M14" s="3">
        <v>161053.92491370864</v>
      </c>
      <c r="N14" s="3">
        <v>131770.64300793721</v>
      </c>
      <c r="O14" s="3">
        <f t="shared" ref="O14:O22" si="2">SUM(C14:N14)</f>
        <v>1674601.0661617948</v>
      </c>
      <c r="Q14" s="3">
        <v>1584641</v>
      </c>
    </row>
    <row r="15" spans="2:18" x14ac:dyDescent="0.35">
      <c r="B15" s="3" t="s">
        <v>12</v>
      </c>
      <c r="C15" s="3">
        <v>140117.60729308455</v>
      </c>
      <c r="D15" s="3">
        <v>140091.28729308455</v>
      </c>
      <c r="E15" s="3">
        <v>140091.28729308455</v>
      </c>
      <c r="F15" s="3">
        <v>171223.65915301934</v>
      </c>
      <c r="G15" s="3">
        <v>171223.65915301934</v>
      </c>
      <c r="H15" s="3">
        <v>140091.28729308455</v>
      </c>
      <c r="I15" s="3">
        <v>124529.48743973892</v>
      </c>
      <c r="J15" s="3">
        <v>124529.48743973892</v>
      </c>
      <c r="K15" s="3">
        <v>140091.28729308455</v>
      </c>
      <c r="L15" s="3">
        <v>177039.59675322688</v>
      </c>
      <c r="M15" s="3">
        <v>171223.65915301934</v>
      </c>
      <c r="N15" s="3">
        <v>140091.28729308455</v>
      </c>
      <c r="O15" s="3">
        <f t="shared" si="2"/>
        <v>1780343.5928502697</v>
      </c>
      <c r="Q15" s="3">
        <v>1684703</v>
      </c>
    </row>
    <row r="16" spans="2:18" x14ac:dyDescent="0.35">
      <c r="B16" s="3" t="s">
        <v>16</v>
      </c>
      <c r="C16" s="3">
        <v>145105.83478509949</v>
      </c>
      <c r="D16" s="3">
        <v>145078.58478509949</v>
      </c>
      <c r="E16" s="3">
        <v>145078.58478509949</v>
      </c>
      <c r="F16" s="3">
        <v>177319.27967566426</v>
      </c>
      <c r="G16" s="3">
        <v>177319.27967566426</v>
      </c>
      <c r="H16" s="3">
        <v>145078.58478509949</v>
      </c>
      <c r="I16" s="3">
        <v>128962.77956225892</v>
      </c>
      <c r="J16" s="3">
        <v>128962.77956225892</v>
      </c>
      <c r="K16" s="3">
        <v>145078.58478509949</v>
      </c>
      <c r="L16" s="3">
        <v>183342.26663324225</v>
      </c>
      <c r="M16" s="3">
        <v>177319.27967566426</v>
      </c>
      <c r="N16" s="3">
        <v>145078.58478509949</v>
      </c>
      <c r="O16" s="3">
        <f t="shared" si="2"/>
        <v>1843724.4234953499</v>
      </c>
      <c r="Q16" s="3">
        <v>1744679</v>
      </c>
    </row>
    <row r="17" spans="2:17" x14ac:dyDescent="0.35">
      <c r="B17" s="3" t="s">
        <v>19</v>
      </c>
      <c r="C17" s="3">
        <v>19540.079109877101</v>
      </c>
      <c r="D17" s="3">
        <v>19536.409109877102</v>
      </c>
      <c r="E17" s="3">
        <v>19536.409109877102</v>
      </c>
      <c r="F17" s="3">
        <v>23877.969280882364</v>
      </c>
      <c r="G17" s="3">
        <v>23877.969280882364</v>
      </c>
      <c r="H17" s="3">
        <v>19536.409109877102</v>
      </c>
      <c r="I17" s="3">
        <v>17366.240684021017</v>
      </c>
      <c r="J17" s="3">
        <v>17366.240684021017</v>
      </c>
      <c r="K17" s="3">
        <v>19536.409109877102</v>
      </c>
      <c r="L17" s="3">
        <v>24689.029972169054</v>
      </c>
      <c r="M17" s="3">
        <v>23877.969280882364</v>
      </c>
      <c r="N17" s="3">
        <v>19536.409109877102</v>
      </c>
      <c r="O17" s="3">
        <f t="shared" si="2"/>
        <v>248277.54384212079</v>
      </c>
      <c r="Q17" s="3">
        <v>234940</v>
      </c>
    </row>
    <row r="18" spans="2:17" x14ac:dyDescent="0.35">
      <c r="B18" s="3" t="s">
        <v>17</v>
      </c>
      <c r="C18" s="3">
        <v>9147.8428466258301</v>
      </c>
      <c r="D18" s="3">
        <v>9146.1228466258308</v>
      </c>
      <c r="E18" s="3">
        <v>9146.1228466258308</v>
      </c>
      <c r="F18" s="3">
        <v>11178.658224376311</v>
      </c>
      <c r="G18" s="3">
        <v>11178.658224376311</v>
      </c>
      <c r="H18" s="3">
        <v>9146.1228466258308</v>
      </c>
      <c r="I18" s="3">
        <v>8130.141511001907</v>
      </c>
      <c r="J18" s="3">
        <v>8130.141511001907</v>
      </c>
      <c r="K18" s="3">
        <v>9146.1228466258308</v>
      </c>
      <c r="L18" s="3">
        <v>11558.362635604419</v>
      </c>
      <c r="M18" s="3">
        <v>11178.658224376311</v>
      </c>
      <c r="N18" s="3">
        <v>9146.1228466258308</v>
      </c>
      <c r="O18" s="3">
        <f t="shared" si="2"/>
        <v>116233.07741049216</v>
      </c>
      <c r="Q18" s="3">
        <v>109989</v>
      </c>
    </row>
    <row r="19" spans="2:17" x14ac:dyDescent="0.35">
      <c r="B19" s="3" t="s">
        <v>18</v>
      </c>
      <c r="C19" s="3">
        <v>14137.826591264022</v>
      </c>
      <c r="D19" s="3">
        <v>14135.166591264022</v>
      </c>
      <c r="E19" s="3">
        <v>14135.166591264022</v>
      </c>
      <c r="F19" s="3">
        <v>17276.413067932535</v>
      </c>
      <c r="G19" s="3">
        <v>17276.413067932535</v>
      </c>
      <c r="H19" s="3">
        <v>14135.166591264022</v>
      </c>
      <c r="I19" s="3">
        <v>12564.985906674032</v>
      </c>
      <c r="J19" s="3">
        <v>12564.985906674032</v>
      </c>
      <c r="K19" s="3">
        <v>14135.166591264022</v>
      </c>
      <c r="L19" s="3">
        <v>17863.239332804667</v>
      </c>
      <c r="M19" s="3">
        <v>17276.413067932535</v>
      </c>
      <c r="N19" s="3">
        <v>14135.166591264022</v>
      </c>
      <c r="O19" s="3">
        <f t="shared" si="2"/>
        <v>179636.10989753445</v>
      </c>
      <c r="Q19" s="3">
        <v>169986</v>
      </c>
    </row>
    <row r="20" spans="2:17" x14ac:dyDescent="0.35">
      <c r="B20" s="3" t="s">
        <v>15</v>
      </c>
      <c r="C20" s="3">
        <v>150508.6793879203</v>
      </c>
      <c r="D20" s="3">
        <v>150480.40938792031</v>
      </c>
      <c r="E20" s="3">
        <v>150480.40938792031</v>
      </c>
      <c r="F20" s="3">
        <v>183921.54732891786</v>
      </c>
      <c r="G20" s="3">
        <v>183921.54732891786</v>
      </c>
      <c r="H20" s="3">
        <v>150480.40938792031</v>
      </c>
      <c r="I20" s="3">
        <v>133764.55176398993</v>
      </c>
      <c r="J20" s="3">
        <v>133764.55176398993</v>
      </c>
      <c r="K20" s="3">
        <v>150480.40938792031</v>
      </c>
      <c r="L20" s="3">
        <v>190168.79287833493</v>
      </c>
      <c r="M20" s="3">
        <v>183921.54732891786</v>
      </c>
      <c r="N20" s="3">
        <v>150480.40938792031</v>
      </c>
      <c r="O20" s="3">
        <f t="shared" si="2"/>
        <v>1912373.2647205901</v>
      </c>
      <c r="Q20" s="3">
        <v>1809640</v>
      </c>
    </row>
    <row r="21" spans="2:17" x14ac:dyDescent="0.35">
      <c r="B21" s="3" t="s">
        <v>13</v>
      </c>
      <c r="C21" s="3">
        <v>102278.93206891704</v>
      </c>
      <c r="D21" s="3">
        <v>102259.72206891704</v>
      </c>
      <c r="E21" s="3">
        <v>102259.72206891704</v>
      </c>
      <c r="F21" s="3">
        <v>124984.81622186553</v>
      </c>
      <c r="G21" s="3">
        <v>124984.81622186553</v>
      </c>
      <c r="H21" s="3">
        <v>102259.72206891704</v>
      </c>
      <c r="I21" s="3">
        <v>90900.37661179385</v>
      </c>
      <c r="J21" s="3">
        <v>90900.37661179385</v>
      </c>
      <c r="K21" s="3">
        <v>102259.72206891704</v>
      </c>
      <c r="L21" s="3">
        <v>129230.16348120752</v>
      </c>
      <c r="M21" s="3">
        <v>124984.81622186553</v>
      </c>
      <c r="N21" s="3">
        <v>102259.72206891704</v>
      </c>
      <c r="O21" s="3">
        <f t="shared" si="2"/>
        <v>1299562.9077838941</v>
      </c>
      <c r="Q21" s="3">
        <v>1229750</v>
      </c>
    </row>
    <row r="22" spans="2:17" x14ac:dyDescent="0.35">
      <c r="B22" s="3" t="s">
        <v>14</v>
      </c>
      <c r="C22" s="3">
        <v>416601.56701893703</v>
      </c>
      <c r="D22" s="3">
        <v>416523.32701893704</v>
      </c>
      <c r="E22" s="3">
        <v>416523.32701893704</v>
      </c>
      <c r="F22" s="3">
        <v>509086.96431325207</v>
      </c>
      <c r="G22" s="3">
        <v>509086.96431325207</v>
      </c>
      <c r="H22" s="3">
        <v>416523.32701893704</v>
      </c>
      <c r="I22" s="3">
        <v>370254.54917725967</v>
      </c>
      <c r="J22" s="3">
        <v>370254.54917725967</v>
      </c>
      <c r="K22" s="3">
        <v>416523.32701893704</v>
      </c>
      <c r="L22" s="3">
        <v>526379.07237922284</v>
      </c>
      <c r="M22" s="3">
        <v>509086.96431325207</v>
      </c>
      <c r="N22" s="3">
        <v>416523.32701893704</v>
      </c>
      <c r="O22" s="3">
        <f t="shared" si="2"/>
        <v>5293367.2657871209</v>
      </c>
      <c r="Q22" s="3">
        <v>5009006</v>
      </c>
    </row>
    <row r="23" spans="2:17" x14ac:dyDescent="0.35">
      <c r="B23" s="3" t="s">
        <v>26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Q23" s="3"/>
    </row>
    <row r="24" spans="2:17" x14ac:dyDescent="0.35">
      <c r="B24" s="3" t="s">
        <v>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Q24" s="3"/>
    </row>
    <row r="25" spans="2:17" s="8" customFormat="1" x14ac:dyDescent="0.35">
      <c r="B25" s="10"/>
      <c r="C25" s="10">
        <f>SUM(C13:C22)</f>
        <v>1245235.1652650563</v>
      </c>
      <c r="D25" s="10">
        <f t="shared" ref="D25:Q25" si="3">SUM(D13:D22)</f>
        <v>1245001.2852650564</v>
      </c>
      <c r="E25" s="10">
        <f t="shared" si="3"/>
        <v>1245001.2852650564</v>
      </c>
      <c r="F25" s="10">
        <f t="shared" si="3"/>
        <v>1521676.8996298464</v>
      </c>
      <c r="G25" s="10">
        <f t="shared" si="3"/>
        <v>1521676.8996298464</v>
      </c>
      <c r="H25" s="10">
        <f t="shared" si="3"/>
        <v>1245001.2852650564</v>
      </c>
      <c r="I25" s="10">
        <f t="shared" si="3"/>
        <v>1106702.4574591585</v>
      </c>
      <c r="J25" s="10">
        <f t="shared" si="3"/>
        <v>1106702.4574591585</v>
      </c>
      <c r="K25" s="10">
        <f t="shared" si="3"/>
        <v>1245001.2852650564</v>
      </c>
      <c r="L25" s="10">
        <f t="shared" si="3"/>
        <v>1573363.5528628288</v>
      </c>
      <c r="M25" s="10">
        <f t="shared" si="3"/>
        <v>1521676.8996298464</v>
      </c>
      <c r="N25" s="10">
        <f t="shared" si="3"/>
        <v>1245001.2852650564</v>
      </c>
      <c r="O25" s="10">
        <f t="shared" si="3"/>
        <v>15822040.758261021</v>
      </c>
      <c r="Q25" s="10">
        <f t="shared" si="3"/>
        <v>14972076</v>
      </c>
    </row>
    <row r="27" spans="2:17" x14ac:dyDescent="0.35">
      <c r="C27" s="13">
        <f>C25-C2</f>
        <v>-271899.24794307491</v>
      </c>
      <c r="D27" s="13">
        <f>D25-D2</f>
        <v>-316732.06346835801</v>
      </c>
      <c r="E27" s="13">
        <f>E25-E2</f>
        <v>-335206.58689342602</v>
      </c>
      <c r="F27" s="13">
        <f>F25-F2</f>
        <v>-61267.723674725043</v>
      </c>
      <c r="G27" s="13">
        <f>G25-G2</f>
        <v>48747.286903450731</v>
      </c>
      <c r="H27" s="13">
        <f>H25-H2</f>
        <v>-178049.74882637709</v>
      </c>
      <c r="I27" s="13">
        <f>I25-I2</f>
        <v>-523632.73399095912</v>
      </c>
      <c r="J27" s="13">
        <f>J25-J2</f>
        <v>-112825.95172903826</v>
      </c>
      <c r="K27" s="13">
        <f>K25-K2</f>
        <v>-55987.537508957088</v>
      </c>
      <c r="L27" s="13">
        <f>L25-L2</f>
        <v>370531.79419975961</v>
      </c>
      <c r="M27" s="13">
        <f>M25-M2</f>
        <v>474537.54200839414</v>
      </c>
      <c r="N27" s="13">
        <f>N25-N2</f>
        <v>816.44904786208645</v>
      </c>
      <c r="O27" s="13">
        <f>O25-O2</f>
        <v>-960968.52187544852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4E97-B91E-42B9-BDA2-DEFFADCD7BC1}">
  <sheetPr codeName="Sheet4"/>
  <dimension ref="B1:R22"/>
  <sheetViews>
    <sheetView zoomScale="108" zoomScaleNormal="108" workbookViewId="0">
      <selection activeCell="C2" sqref="C2:N10"/>
    </sheetView>
  </sheetViews>
  <sheetFormatPr defaultRowHeight="14.5" x14ac:dyDescent="0.35"/>
  <cols>
    <col min="2" max="2" width="34.36328125" customWidth="1"/>
    <col min="3" max="14" width="10.1796875" bestFit="1" customWidth="1"/>
    <col min="15" max="15" width="11.1796875" bestFit="1" customWidth="1"/>
    <col min="16" max="16" width="1.36328125" customWidth="1"/>
    <col min="17" max="17" width="11.1796875" style="1" bestFit="1" customWidth="1"/>
    <col min="18" max="18" width="10" bestFit="1" customWidth="1"/>
  </cols>
  <sheetData>
    <row r="1" spans="2:18" x14ac:dyDescent="0.35">
      <c r="B1" s="6" t="s">
        <v>20</v>
      </c>
      <c r="C1" s="7">
        <v>45839</v>
      </c>
      <c r="D1" s="7">
        <v>45870</v>
      </c>
      <c r="E1" s="7">
        <v>45901</v>
      </c>
      <c r="F1" s="7">
        <v>45931</v>
      </c>
      <c r="G1" s="7">
        <v>45962</v>
      </c>
      <c r="H1" s="7">
        <v>45992</v>
      </c>
      <c r="I1" s="7">
        <v>46023</v>
      </c>
      <c r="J1" s="7">
        <v>46054</v>
      </c>
      <c r="K1" s="7">
        <v>46082</v>
      </c>
      <c r="L1" s="7">
        <v>46113</v>
      </c>
      <c r="M1" s="7">
        <v>46143</v>
      </c>
      <c r="N1" s="7">
        <v>46174</v>
      </c>
      <c r="O1" s="6" t="s">
        <v>8</v>
      </c>
      <c r="Q1" s="9" t="s">
        <v>24</v>
      </c>
    </row>
    <row r="2" spans="2:18" x14ac:dyDescent="0.35">
      <c r="B2" s="3" t="s">
        <v>9</v>
      </c>
      <c r="C2" s="3">
        <v>470534.25655699824</v>
      </c>
      <c r="D2" s="3">
        <v>471630.74653483607</v>
      </c>
      <c r="E2" s="3">
        <v>468840.66322331689</v>
      </c>
      <c r="F2" s="3">
        <v>517365.41512221121</v>
      </c>
      <c r="G2" s="3">
        <v>510233.61737105093</v>
      </c>
      <c r="H2" s="3">
        <v>545582.52796375821</v>
      </c>
      <c r="I2" s="3">
        <v>562016.67060773168</v>
      </c>
      <c r="J2" s="3">
        <v>500621.19431513938</v>
      </c>
      <c r="K2" s="3">
        <v>419225.67650298442</v>
      </c>
      <c r="L2" s="3">
        <v>71628.055674696312</v>
      </c>
      <c r="M2" s="3">
        <v>218915.18314430991</v>
      </c>
      <c r="N2" s="3">
        <v>135969.27451668543</v>
      </c>
      <c r="O2" s="3">
        <f>SUM(C2:N2)</f>
        <v>4892563.2815337181</v>
      </c>
      <c r="Q2" s="5">
        <v>8905142</v>
      </c>
      <c r="R2" s="13">
        <f>(SUM(C2:E2))/1000</f>
        <v>1411.0056663151511</v>
      </c>
    </row>
    <row r="3" spans="2:18" x14ac:dyDescent="0.35">
      <c r="B3" s="3" t="s">
        <v>0</v>
      </c>
      <c r="C3" s="3">
        <v>71068.911635906712</v>
      </c>
      <c r="D3" s="3">
        <v>71233.737314260667</v>
      </c>
      <c r="E3" s="3">
        <v>70812.331239364357</v>
      </c>
      <c r="F3" s="3">
        <v>78141.368744662352</v>
      </c>
      <c r="G3" s="3">
        <v>77064.202738592678</v>
      </c>
      <c r="H3" s="3">
        <v>82403.199464329286</v>
      </c>
      <c r="I3" s="3">
        <v>84885.364608750009</v>
      </c>
      <c r="J3" s="3">
        <v>75612.37029562924</v>
      </c>
      <c r="K3" s="3">
        <v>63318.627835051542</v>
      </c>
      <c r="L3" s="3">
        <v>10818.493365308364</v>
      </c>
      <c r="M3" s="3">
        <v>33064.313055877508</v>
      </c>
      <c r="N3" s="3">
        <v>20536.404072241203</v>
      </c>
      <c r="O3" s="3">
        <f t="shared" ref="O3:O10" si="0">SUM(C3:N3)</f>
        <v>738959.32436997385</v>
      </c>
      <c r="Q3" s="5">
        <v>1095029</v>
      </c>
      <c r="R3" s="13">
        <f t="shared" ref="R3:R11" si="1">(SUM(C3:E3))/1000</f>
        <v>213.11498018953176</v>
      </c>
    </row>
    <row r="4" spans="2:18" x14ac:dyDescent="0.35">
      <c r="B4" s="3" t="s">
        <v>1</v>
      </c>
      <c r="C4" s="3">
        <v>50551.121642479564</v>
      </c>
      <c r="D4" s="3">
        <v>50669.220835628366</v>
      </c>
      <c r="E4" s="3">
        <v>50369.470769501742</v>
      </c>
      <c r="F4" s="3">
        <v>55582.683411009508</v>
      </c>
      <c r="G4" s="3">
        <v>54816.48519797191</v>
      </c>
      <c r="H4" s="3">
        <v>58614.16329737562</v>
      </c>
      <c r="I4" s="3">
        <v>60379.750483940021</v>
      </c>
      <c r="J4" s="3">
        <v>53783.783258660384</v>
      </c>
      <c r="K4" s="3">
        <v>45039.129740296579</v>
      </c>
      <c r="L4" s="3">
        <v>7695.2950961601418</v>
      </c>
      <c r="M4" s="3">
        <v>23518.953843675579</v>
      </c>
      <c r="N4" s="3">
        <v>14607.735496390573</v>
      </c>
      <c r="O4" s="3">
        <f t="shared" si="0"/>
        <v>525627.79307308991</v>
      </c>
      <c r="Q4" s="5">
        <v>844999</v>
      </c>
      <c r="R4" s="13">
        <f t="shared" si="1"/>
        <v>151.58981324760964</v>
      </c>
    </row>
    <row r="5" spans="2:18" x14ac:dyDescent="0.35">
      <c r="B5" s="3" t="s">
        <v>2</v>
      </c>
      <c r="C5" s="3">
        <v>387971.94747180806</v>
      </c>
      <c r="D5" s="3">
        <v>388875.71647123183</v>
      </c>
      <c r="E5" s="3">
        <v>386575.19714599039</v>
      </c>
      <c r="F5" s="3">
        <v>426585.51835577918</v>
      </c>
      <c r="G5" s="3">
        <v>420705.10665533989</v>
      </c>
      <c r="H5" s="3">
        <v>449851.49508360412</v>
      </c>
      <c r="I5" s="3">
        <v>463402.00900200394</v>
      </c>
      <c r="J5" s="3">
        <v>412779.33436344354</v>
      </c>
      <c r="K5" s="3">
        <v>345665.93995625619</v>
      </c>
      <c r="L5" s="3">
        <v>59059.787078324844</v>
      </c>
      <c r="M5" s="3">
        <v>180503.07219609234</v>
      </c>
      <c r="N5" s="3">
        <v>112111.32741924435</v>
      </c>
      <c r="O5" s="3">
        <f t="shared" si="0"/>
        <v>4034086.4511991185</v>
      </c>
      <c r="Q5" s="5">
        <v>6773054</v>
      </c>
      <c r="R5" s="13">
        <f t="shared" si="1"/>
        <v>1163.4228610890302</v>
      </c>
    </row>
    <row r="6" spans="2:18" x14ac:dyDescent="0.35">
      <c r="B6" s="3" t="s">
        <v>3</v>
      </c>
      <c r="C6" s="3">
        <v>746216.40702844819</v>
      </c>
      <c r="D6" s="3">
        <v>747955.07802259782</v>
      </c>
      <c r="E6" s="3">
        <v>743530.30928924133</v>
      </c>
      <c r="F6" s="3">
        <v>820485.28913147247</v>
      </c>
      <c r="G6" s="3">
        <v>809175.03342273762</v>
      </c>
      <c r="H6" s="3">
        <v>865234.56171820534</v>
      </c>
      <c r="I6" s="3">
        <v>891297.32487310865</v>
      </c>
      <c r="J6" s="3">
        <v>793930.77572835621</v>
      </c>
      <c r="K6" s="3">
        <v>664846.33557431865</v>
      </c>
      <c r="L6" s="3">
        <v>113594.30733555298</v>
      </c>
      <c r="M6" s="3">
        <v>347175.675233335</v>
      </c>
      <c r="N6" s="3">
        <v>215632.48383826832</v>
      </c>
      <c r="O6" s="3">
        <f t="shared" si="0"/>
        <v>7759073.5811956422</v>
      </c>
      <c r="Q6" s="5">
        <v>12675308</v>
      </c>
      <c r="R6" s="13">
        <f t="shared" si="1"/>
        <v>2237.7017943402875</v>
      </c>
    </row>
    <row r="7" spans="2:18" x14ac:dyDescent="0.35">
      <c r="B7" s="3" t="s">
        <v>4</v>
      </c>
      <c r="C7" s="3">
        <v>155670.21601903331</v>
      </c>
      <c r="D7" s="3">
        <v>156033.11547409801</v>
      </c>
      <c r="E7" s="3">
        <v>155110.05141449801</v>
      </c>
      <c r="F7" s="3">
        <v>171163.85679512937</v>
      </c>
      <c r="G7" s="3">
        <v>168804.39098374909</v>
      </c>
      <c r="H7" s="3">
        <v>180499.13457059042</v>
      </c>
      <c r="I7" s="3">
        <v>185936.16448376956</v>
      </c>
      <c r="J7" s="3">
        <v>165624.24141188874</v>
      </c>
      <c r="K7" s="3">
        <v>138695.55552113568</v>
      </c>
      <c r="L7" s="3">
        <v>23697.243583862681</v>
      </c>
      <c r="M7" s="3">
        <v>72425.341862368194</v>
      </c>
      <c r="N7" s="3">
        <v>44983.728621315095</v>
      </c>
      <c r="O7" s="3">
        <f t="shared" si="0"/>
        <v>1618643.040741438</v>
      </c>
      <c r="Q7" s="5">
        <v>2327015</v>
      </c>
      <c r="R7" s="13">
        <f t="shared" si="1"/>
        <v>466.81338290762938</v>
      </c>
    </row>
    <row r="8" spans="2:18" x14ac:dyDescent="0.35">
      <c r="B8" s="3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Q8" s="5">
        <v>0</v>
      </c>
      <c r="R8" s="13">
        <f t="shared" si="1"/>
        <v>0</v>
      </c>
    </row>
    <row r="9" spans="2:18" x14ac:dyDescent="0.35">
      <c r="B9" s="3" t="s">
        <v>6</v>
      </c>
      <c r="C9" s="3">
        <v>23174.317438071696</v>
      </c>
      <c r="D9" s="3">
        <v>23228.412801096129</v>
      </c>
      <c r="E9" s="3">
        <v>23090.99765718199</v>
      </c>
      <c r="F9" s="3">
        <v>25480.90326969709</v>
      </c>
      <c r="G9" s="3">
        <v>25129.653179674289</v>
      </c>
      <c r="H9" s="3">
        <v>26870.631886743795</v>
      </c>
      <c r="I9" s="3">
        <v>27680.034268100451</v>
      </c>
      <c r="J9" s="3">
        <v>24656.229145295747</v>
      </c>
      <c r="K9" s="3">
        <v>20647.39659612254</v>
      </c>
      <c r="L9" s="3">
        <v>3527.7726432724166</v>
      </c>
      <c r="M9" s="3">
        <v>10781.85058939535</v>
      </c>
      <c r="N9" s="3">
        <v>6696.659324999805</v>
      </c>
      <c r="O9" s="3">
        <f t="shared" si="0"/>
        <v>240964.85879965129</v>
      </c>
      <c r="Q9" s="5">
        <v>440002</v>
      </c>
      <c r="R9" s="13">
        <f t="shared" si="1"/>
        <v>69.49372789634981</v>
      </c>
    </row>
    <row r="10" spans="2:18" x14ac:dyDescent="0.35">
      <c r="B10" s="3" t="s">
        <v>7</v>
      </c>
      <c r="C10" s="3">
        <v>44186.638134515546</v>
      </c>
      <c r="D10" s="3">
        <v>44289.274004462241</v>
      </c>
      <c r="E10" s="3">
        <v>44027.266564983263</v>
      </c>
      <c r="F10" s="3">
        <v>48584.064544416811</v>
      </c>
      <c r="G10" s="3">
        <v>47914.341149438333</v>
      </c>
      <c r="H10" s="3">
        <v>51233.839715853384</v>
      </c>
      <c r="I10" s="3">
        <v>52777.115365151192</v>
      </c>
      <c r="J10" s="3">
        <v>47011.670486641262</v>
      </c>
      <c r="K10" s="3">
        <v>39368.088261343437</v>
      </c>
      <c r="L10" s="3">
        <v>6726.3523582620819</v>
      </c>
      <c r="M10" s="3">
        <v>20557.59638499147</v>
      </c>
      <c r="N10" s="3">
        <v>12768.422117307027</v>
      </c>
      <c r="O10" s="3">
        <f t="shared" si="0"/>
        <v>459444.66908736608</v>
      </c>
      <c r="Q10" s="5">
        <v>775047</v>
      </c>
      <c r="R10" s="13">
        <f t="shared" si="1"/>
        <v>132.50317870396105</v>
      </c>
    </row>
    <row r="11" spans="2:18" x14ac:dyDescent="0.35">
      <c r="B11" s="10" t="s">
        <v>8</v>
      </c>
      <c r="C11" s="10">
        <f t="shared" ref="C11:N11" si="2">SUM(C2:C10)</f>
        <v>1949373.815927261</v>
      </c>
      <c r="D11" s="10">
        <f t="shared" si="2"/>
        <v>1953915.3014582112</v>
      </c>
      <c r="E11" s="10">
        <f t="shared" si="2"/>
        <v>1942356.2873040778</v>
      </c>
      <c r="F11" s="10">
        <f t="shared" si="2"/>
        <v>2143389.0993743781</v>
      </c>
      <c r="G11" s="10">
        <f t="shared" si="2"/>
        <v>2113842.8306985549</v>
      </c>
      <c r="H11" s="10">
        <f t="shared" si="2"/>
        <v>2260289.5537004601</v>
      </c>
      <c r="I11" s="10">
        <f t="shared" si="2"/>
        <v>2328374.4336925554</v>
      </c>
      <c r="J11" s="10">
        <f t="shared" si="2"/>
        <v>2074019.5990050544</v>
      </c>
      <c r="K11" s="10">
        <f t="shared" si="2"/>
        <v>1736806.7499875091</v>
      </c>
      <c r="L11" s="10">
        <f t="shared" si="2"/>
        <v>296747.30713543977</v>
      </c>
      <c r="M11" s="10">
        <f t="shared" si="2"/>
        <v>906941.98631004535</v>
      </c>
      <c r="N11" s="10">
        <f>SUM(N2:N10)</f>
        <v>563306.03540645179</v>
      </c>
      <c r="O11" s="10">
        <f>SUM(O2:O10)</f>
        <v>20269363</v>
      </c>
      <c r="Q11" s="9">
        <f>SUM(Q2:Q10)</f>
        <v>33835596</v>
      </c>
      <c r="R11" s="13">
        <f t="shared" si="1"/>
        <v>5845.6454046895506</v>
      </c>
    </row>
    <row r="12" spans="2:18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8" x14ac:dyDescent="0.35">
      <c r="B13" s="5" t="s">
        <v>25</v>
      </c>
      <c r="C13" s="7">
        <v>45839</v>
      </c>
      <c r="D13" s="7">
        <v>45870</v>
      </c>
      <c r="E13" s="7">
        <v>45901</v>
      </c>
      <c r="F13" s="7">
        <v>45931</v>
      </c>
      <c r="G13" s="7">
        <v>45962</v>
      </c>
      <c r="H13" s="7">
        <v>45992</v>
      </c>
      <c r="I13" s="7">
        <v>46023</v>
      </c>
      <c r="J13" s="7">
        <v>46054</v>
      </c>
      <c r="K13" s="7">
        <v>46082</v>
      </c>
      <c r="L13" s="7">
        <v>46113</v>
      </c>
      <c r="M13" s="7">
        <v>46143</v>
      </c>
      <c r="N13" s="7">
        <v>46174</v>
      </c>
      <c r="O13" s="6" t="s">
        <v>8</v>
      </c>
      <c r="Q13" s="9" t="s">
        <v>24</v>
      </c>
    </row>
    <row r="14" spans="2:18" x14ac:dyDescent="0.35">
      <c r="B14" s="5" t="s">
        <v>10</v>
      </c>
      <c r="C14" s="5">
        <v>191803.55939397987</v>
      </c>
      <c r="D14" s="5">
        <v>192155.55939397987</v>
      </c>
      <c r="E14" s="5">
        <v>192155.55939397987</v>
      </c>
      <c r="F14" s="5">
        <v>192155.55939397987</v>
      </c>
      <c r="G14" s="5">
        <v>192155.55939397987</v>
      </c>
      <c r="H14" s="5">
        <v>192155.55939397987</v>
      </c>
      <c r="I14" s="5">
        <v>192155.55939397987</v>
      </c>
      <c r="J14" s="5">
        <v>184425.64620454118</v>
      </c>
      <c r="K14" s="5">
        <v>192155.55939397987</v>
      </c>
      <c r="L14" s="5">
        <v>195936.49519316165</v>
      </c>
      <c r="M14" s="5">
        <v>195936.49519316165</v>
      </c>
      <c r="N14" s="5">
        <v>197448.86951283441</v>
      </c>
      <c r="O14" s="5">
        <v>2310639.9812555378</v>
      </c>
      <c r="Q14" s="3">
        <v>2125051</v>
      </c>
    </row>
    <row r="15" spans="2:18" x14ac:dyDescent="0.35">
      <c r="B15" s="5" t="s">
        <v>11</v>
      </c>
      <c r="C15" s="5">
        <v>177234.5183616849</v>
      </c>
      <c r="D15" s="5">
        <v>177234.5183616849</v>
      </c>
      <c r="E15" s="5">
        <v>177234.5183616849</v>
      </c>
      <c r="F15" s="5">
        <v>177234.5183616849</v>
      </c>
      <c r="G15" s="5">
        <v>177234.5183616849</v>
      </c>
      <c r="H15" s="5">
        <v>177234.5183616849</v>
      </c>
      <c r="I15" s="5">
        <v>177234.5183616849</v>
      </c>
      <c r="J15" s="5">
        <v>170104.83944201935</v>
      </c>
      <c r="K15" s="5">
        <v>177234.5183616849</v>
      </c>
      <c r="L15" s="5">
        <v>180721.86131152115</v>
      </c>
      <c r="M15" s="5">
        <v>180721.86131152115</v>
      </c>
      <c r="N15" s="5">
        <v>182116.7984914557</v>
      </c>
      <c r="O15" s="5">
        <v>2131541.5074499967</v>
      </c>
      <c r="Q15" s="3">
        <v>1960039</v>
      </c>
    </row>
    <row r="16" spans="2:18" x14ac:dyDescent="0.35">
      <c r="B16" s="5" t="s">
        <v>12</v>
      </c>
      <c r="C16" s="5">
        <v>126595.5549179189</v>
      </c>
      <c r="D16" s="5">
        <v>126595.5549179189</v>
      </c>
      <c r="E16" s="5">
        <v>126595.5549179189</v>
      </c>
      <c r="F16" s="5">
        <v>126595.5549179189</v>
      </c>
      <c r="G16" s="5">
        <v>126595.5549179189</v>
      </c>
      <c r="H16" s="5">
        <v>126595.5549179189</v>
      </c>
      <c r="I16" s="5">
        <v>126595.5549179189</v>
      </c>
      <c r="J16" s="5">
        <v>121502.94842362567</v>
      </c>
      <c r="K16" s="5">
        <v>126595.5549179189</v>
      </c>
      <c r="L16" s="5">
        <v>129086.50374664918</v>
      </c>
      <c r="M16" s="5">
        <v>129086.50374664918</v>
      </c>
      <c r="N16" s="5">
        <v>130082.88327814131</v>
      </c>
      <c r="O16" s="5">
        <v>1522523.2785384166</v>
      </c>
      <c r="Q16" s="3">
        <v>1400022</v>
      </c>
    </row>
    <row r="17" spans="2:17" x14ac:dyDescent="0.35">
      <c r="B17" s="5" t="s">
        <v>15</v>
      </c>
      <c r="C17" s="5">
        <v>132018.37114793708</v>
      </c>
      <c r="D17" s="5">
        <v>132018.37114793708</v>
      </c>
      <c r="E17" s="5">
        <v>132018.37114793708</v>
      </c>
      <c r="F17" s="5">
        <v>132018.37114793708</v>
      </c>
      <c r="G17" s="5">
        <v>132018.37114793708</v>
      </c>
      <c r="H17" s="5">
        <v>132018.37114793708</v>
      </c>
      <c r="I17" s="5">
        <v>132018.37114793708</v>
      </c>
      <c r="J17" s="5">
        <v>126707.61900731167</v>
      </c>
      <c r="K17" s="5">
        <v>132018.37114793708</v>
      </c>
      <c r="L17" s="5">
        <v>134616.02165150375</v>
      </c>
      <c r="M17" s="5">
        <v>134616.02165150375</v>
      </c>
      <c r="N17" s="5">
        <v>135655.08185293042</v>
      </c>
      <c r="O17" s="5">
        <v>1587741.7133467465</v>
      </c>
      <c r="Q17" s="3">
        <v>1459993</v>
      </c>
    </row>
    <row r="18" spans="2:17" x14ac:dyDescent="0.35">
      <c r="B18" s="5" t="s">
        <v>13</v>
      </c>
      <c r="C18" s="5">
        <v>90426.688141019506</v>
      </c>
      <c r="D18" s="5">
        <v>90426.688141019506</v>
      </c>
      <c r="E18" s="5">
        <v>90426.688141019506</v>
      </c>
      <c r="F18" s="5">
        <v>90426.688141019506</v>
      </c>
      <c r="G18" s="5">
        <v>90426.688141019506</v>
      </c>
      <c r="H18" s="5">
        <v>90426.688141019506</v>
      </c>
      <c r="I18" s="5">
        <v>90426.688141019506</v>
      </c>
      <c r="J18" s="5">
        <v>86789.060109111393</v>
      </c>
      <c r="K18" s="5">
        <v>90426.688141019506</v>
      </c>
      <c r="L18" s="5">
        <v>92205.962721844058</v>
      </c>
      <c r="M18" s="5">
        <v>92205.962721844058</v>
      </c>
      <c r="N18" s="5">
        <v>92917.672554173885</v>
      </c>
      <c r="O18" s="5">
        <v>1087532.1632351296</v>
      </c>
      <c r="Q18" s="3">
        <v>1000030</v>
      </c>
    </row>
    <row r="19" spans="2:17" x14ac:dyDescent="0.35">
      <c r="B19" s="5" t="s">
        <v>14</v>
      </c>
      <c r="C19" s="5">
        <v>86807.649372714543</v>
      </c>
      <c r="D19" s="5">
        <v>86807.649372714543</v>
      </c>
      <c r="E19" s="5">
        <v>86807.649372714543</v>
      </c>
      <c r="F19" s="5">
        <v>86807.649372714543</v>
      </c>
      <c r="G19" s="5">
        <v>86807.649372714543</v>
      </c>
      <c r="H19" s="5">
        <v>86807.649372714543</v>
      </c>
      <c r="I19" s="5">
        <v>86807.649372714543</v>
      </c>
      <c r="J19" s="5">
        <v>83315.605759994913</v>
      </c>
      <c r="K19" s="5">
        <v>86807.649372714543</v>
      </c>
      <c r="L19" s="5">
        <v>88515.714183283853</v>
      </c>
      <c r="M19" s="5">
        <v>88515.714183283853</v>
      </c>
      <c r="N19" s="5">
        <v>89198.940107511589</v>
      </c>
      <c r="O19" s="5">
        <v>1044007.1692157907</v>
      </c>
      <c r="Q19" s="3">
        <v>960007</v>
      </c>
    </row>
    <row r="20" spans="2:17" s="8" customFormat="1" x14ac:dyDescent="0.35">
      <c r="B20" s="9" t="s">
        <v>8</v>
      </c>
      <c r="C20" s="9">
        <f>SUM(C14:C19)</f>
        <v>804886.34133525495</v>
      </c>
      <c r="D20" s="9">
        <f t="shared" ref="D20:Q20" si="3">SUM(D14:D19)</f>
        <v>805238.34133525495</v>
      </c>
      <c r="E20" s="9">
        <f t="shared" si="3"/>
        <v>805238.34133525495</v>
      </c>
      <c r="F20" s="9">
        <f t="shared" si="3"/>
        <v>805238.34133525495</v>
      </c>
      <c r="G20" s="9">
        <f t="shared" si="3"/>
        <v>805238.34133525495</v>
      </c>
      <c r="H20" s="9">
        <f t="shared" si="3"/>
        <v>805238.34133525495</v>
      </c>
      <c r="I20" s="9">
        <f t="shared" si="3"/>
        <v>805238.34133525495</v>
      </c>
      <c r="J20" s="9">
        <f t="shared" si="3"/>
        <v>772845.71894660417</v>
      </c>
      <c r="K20" s="9">
        <f t="shared" si="3"/>
        <v>805238.34133525495</v>
      </c>
      <c r="L20" s="9">
        <f t="shared" si="3"/>
        <v>821082.55880796374</v>
      </c>
      <c r="M20" s="9">
        <f t="shared" si="3"/>
        <v>821082.55880796374</v>
      </c>
      <c r="N20" s="9">
        <f t="shared" si="3"/>
        <v>827420.24579704728</v>
      </c>
      <c r="O20" s="9">
        <f t="shared" si="3"/>
        <v>9683985.8130416181</v>
      </c>
      <c r="Q20" s="9">
        <f t="shared" si="3"/>
        <v>8905142</v>
      </c>
    </row>
    <row r="22" spans="2:17" x14ac:dyDescent="0.35">
      <c r="C22" s="13">
        <f>C20-C2</f>
        <v>334352.08477825671</v>
      </c>
      <c r="D22" s="13">
        <f t="shared" ref="D22:O22" si="4">D20-D2</f>
        <v>333607.59480041888</v>
      </c>
      <c r="E22" s="13">
        <f t="shared" si="4"/>
        <v>336397.67811193806</v>
      </c>
      <c r="F22" s="13">
        <f t="shared" si="4"/>
        <v>287872.92621304374</v>
      </c>
      <c r="G22" s="13">
        <f t="shared" si="4"/>
        <v>295004.72396420402</v>
      </c>
      <c r="H22" s="13">
        <f t="shared" si="4"/>
        <v>259655.81337149674</v>
      </c>
      <c r="I22" s="13">
        <f t="shared" si="4"/>
        <v>243221.67072752328</v>
      </c>
      <c r="J22" s="13">
        <f t="shared" si="4"/>
        <v>272224.5246314648</v>
      </c>
      <c r="K22" s="13">
        <f t="shared" si="4"/>
        <v>386012.66483227053</v>
      </c>
      <c r="L22" s="13">
        <f t="shared" si="4"/>
        <v>749454.5031332674</v>
      </c>
      <c r="M22" s="13">
        <f t="shared" si="4"/>
        <v>602167.37566365383</v>
      </c>
      <c r="N22" s="13">
        <f t="shared" si="4"/>
        <v>691450.97128036187</v>
      </c>
      <c r="O22" s="13">
        <f t="shared" si="4"/>
        <v>4791422.5315079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Lubes</vt:lpstr>
      <vt:lpstr>PMG</vt:lpstr>
      <vt:lpstr>HSD</vt:lpstr>
      <vt:lpstr>HOBC</vt:lpstr>
    </vt:vector>
  </TitlesOfParts>
  <Company>Pakistan State Oil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iejaz</dc:creator>
  <cp:lastModifiedBy>Kashan Ali</cp:lastModifiedBy>
  <dcterms:created xsi:type="dcterms:W3CDTF">2025-08-12T15:07:36Z</dcterms:created>
  <dcterms:modified xsi:type="dcterms:W3CDTF">2026-09-17T11:32:47Z</dcterms:modified>
</cp:coreProperties>
</file>